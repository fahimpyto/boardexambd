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Pages" sheetId="2" state="visible" r:id="rId2"/>
    <sheet name="Issues" sheetId="3" state="visible" r:id="rId3"/>
    <sheet name="Config" sheetId="4" state="visible" r:id="rId4"/>
  </sheets>
  <definedNames>
    <definedName name="_xlnm._FilterDatabase" localSheetId="1" hidden="1">'Pages'!$A$1:$Z$23</definedName>
    <definedName name="_xlnm._FilterDatabase" localSheetId="2" hidden="1">'Issues'!$A$1:$G$100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E1B4B"/>
      <sz val="18"/>
    </font>
    <font>
      <color rgb="00475569"/>
      <sz val="10"/>
    </font>
    <font>
      <b val="1"/>
      <color rgb="001E1B4B"/>
      <sz val="13"/>
    </font>
    <font>
      <b val="1"/>
    </font>
    <font>
      <b val="1"/>
      <color rgb="00FFFFFF"/>
      <sz val="10"/>
    </font>
    <font>
      <color rgb="001D4ED8"/>
      <u val="single"/>
    </font>
  </fonts>
  <fills count="5">
    <fill>
      <patternFill/>
    </fill>
    <fill>
      <patternFill patternType="gray125"/>
    </fill>
    <fill>
      <patternFill patternType="solid">
        <fgColor rgb="00EEF2FF"/>
      </patternFill>
    </fill>
    <fill>
      <patternFill patternType="solid">
        <fgColor rgb="00F8FAFC"/>
      </patternFill>
    </fill>
    <fill>
      <patternFill patternType="solid">
        <fgColor rgb="004F46E5"/>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9" fontId="0" fillId="0" borderId="0" applyAlignment="1" pivotButton="0" quotePrefix="0" xfId="0">
      <alignment horizontal="center"/>
    </xf>
    <xf numFmtId="0" fontId="4" fillId="2" borderId="0" applyAlignment="1" pivotButton="0" quotePrefix="0" xfId="0">
      <alignment horizontal="center"/>
    </xf>
    <xf numFmtId="0" fontId="0" fillId="3" borderId="0" applyAlignment="1" pivotButton="0" quotePrefix="0" xfId="0">
      <alignment vertical="top" wrapText="1"/>
    </xf>
    <xf numFmtId="0" fontId="5" fillId="4" borderId="0" applyAlignment="1" pivotButton="0" quotePrefix="0" xfId="0">
      <alignment horizontal="center" vertical="center" wrapText="1"/>
    </xf>
    <xf numFmtId="0" fontId="6"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6">
    <dxf>
      <font>
        <b val="1"/>
        <color rgb="00166534"/>
      </font>
      <fill>
        <patternFill patternType="solid">
          <fgColor rgb="00DCFCE7"/>
        </patternFill>
      </fill>
    </dxf>
    <dxf>
      <font>
        <b val="1"/>
        <color rgb="0092400E"/>
      </font>
      <fill>
        <patternFill patternType="solid">
          <fgColor rgb="00FEF3C7"/>
        </patternFill>
      </fill>
    </dxf>
    <dxf>
      <font>
        <b val="1"/>
        <color rgb="00475569"/>
      </font>
      <fill>
        <patternFill patternType="solid">
          <fgColor rgb="00F1F5F9"/>
        </patternFill>
      </fill>
    </dxf>
    <dxf>
      <font>
        <b val="1"/>
        <color rgb="00991B1B"/>
      </font>
      <fill>
        <patternFill patternType="solid">
          <fgColor rgb="00FEE2E2"/>
        </patternFill>
      </fill>
    </dxf>
    <dxf>
      <fill>
        <patternFill patternType="solid">
          <fgColor rgb="00FEF3C7"/>
        </patternFill>
      </fill>
    </dxf>
    <dxf>
      <fill>
        <patternFill patternType="solid">
          <fgColor rgb="00DCFC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index.html" TargetMode="External" Id="rId1" /><Relationship Type="http://schemas.openxmlformats.org/officeDocument/2006/relationships/hyperlink" Target="ssc.html" TargetMode="External" Id="rId2" /><Relationship Type="http://schemas.openxmlformats.org/officeDocument/2006/relationships/hyperlink" Target="hsc.html" TargetMode="External" Id="rId3" /><Relationship Type="http://schemas.openxmlformats.org/officeDocument/2006/relationships/hyperlink" Target="admission.html" TargetMode="External" Id="rId4" /><Relationship Type="http://schemas.openxmlformats.org/officeDocument/2006/relationships/hyperlink" Target="blog.html" TargetMode="External" Id="rId5" /><Relationship Type="http://schemas.openxmlformats.org/officeDocument/2006/relationships/hyperlink" Target="ssc-2026-routine.html" TargetMode="External" Id="rId6" /><Relationship Type="http://schemas.openxmlformats.org/officeDocument/2006/relationships/hyperlink" Target="ssc-2026-result.html" TargetMode="External" Id="rId7" /><Relationship Type="http://schemas.openxmlformats.org/officeDocument/2006/relationships/hyperlink" Target="ssc-form-fillup-2027.html" TargetMode="External" Id="rId8" /><Relationship Type="http://schemas.openxmlformats.org/officeDocument/2006/relationships/hyperlink" Target="ssc-board-challenge-2026.html" TargetMode="External" Id="rId9" /><Relationship Type="http://schemas.openxmlformats.org/officeDocument/2006/relationships/hyperlink" Target="hsc-2026-routine.html" TargetMode="External" Id="rId10" /><Relationship Type="http://schemas.openxmlformats.org/officeDocument/2006/relationships/hyperlink" Target="hsc-2026-result.html" TargetMode="External" Id="rId11" /><Relationship Type="http://schemas.openxmlformats.org/officeDocument/2006/relationships/hyperlink" Target="hsc-form-fillup-2027.html" TargetMode="External" Id="rId12" /><Relationship Type="http://schemas.openxmlformats.org/officeDocument/2006/relationships/hyperlink" Target="hsc-practical-2026.html" TargetMode="External" Id="rId13" /><Relationship Type="http://schemas.openxmlformats.org/officeDocument/2006/relationships/hyperlink" Target="buet-admission-2026-27.html" TargetMode="External" Id="rId14" /><Relationship Type="http://schemas.openxmlformats.org/officeDocument/2006/relationships/hyperlink" Target="du-a-unit-admission-2026-27.html" TargetMode="External" Id="rId15" /><Relationship Type="http://schemas.openxmlformats.org/officeDocument/2006/relationships/hyperlink" Target="gst-a-unit-admission-2026-27.html" TargetMode="External" Id="rId16" /><Relationship Type="http://schemas.openxmlformats.org/officeDocument/2006/relationships/hyperlink" Target="ku-admission-2026-27.html" TargetMode="External" Id="rId17" /><Relationship Type="http://schemas.openxmlformats.org/officeDocument/2006/relationships/hyperlink" Target="medical-admission-2026-27.html" TargetMode="External" Id="rId18" /><Relationship Type="http://schemas.openxmlformats.org/officeDocument/2006/relationships/hyperlink" Target="ru-admission-2026-27.html" TargetMode="External" Id="rId19" /><Relationship Type="http://schemas.openxmlformats.org/officeDocument/2006/relationships/hyperlink" Target="ruet-admission-2026-27.html" TargetMode="External" Id="rId20" /><Relationship Type="http://schemas.openxmlformats.org/officeDocument/2006/relationships/hyperlink" Target="sust-admission-2026-27.html" TargetMode="External" Id="rId21" /><Relationship Type="http://schemas.openxmlformats.org/officeDocument/2006/relationships/hyperlink" Target="404.html" TargetMode="External" Id="rId22" /></Relationships>
</file>

<file path=xl/worksheets/sheet1.xml><?xml version="1.0" encoding="utf-8"?>
<worksheet xmlns="http://schemas.openxmlformats.org/spreadsheetml/2006/main">
  <sheetPr>
    <tabColor rgb="004F46E5"/>
    <outlinePr summaryBelow="1" summaryRight="1"/>
    <pageSetUpPr/>
  </sheetPr>
  <dimension ref="B2:G39"/>
  <sheetViews>
    <sheetView showGridLines="0" workbookViewId="0">
      <selection activeCell="A1" sqref="A1"/>
    </sheetView>
  </sheetViews>
  <sheetFormatPr baseColWidth="8" defaultRowHeight="15"/>
  <cols>
    <col width="3" customWidth="1" min="1" max="1"/>
    <col width="36" customWidth="1" min="2" max="2"/>
    <col width="16" customWidth="1" min="3" max="3"/>
    <col width="16" customWidth="1" min="4" max="4"/>
    <col width="16" customWidth="1" min="5" max="5"/>
    <col width="20" customWidth="1" min="6" max="6"/>
    <col width="24" customWidth="1" min="7" max="7"/>
  </cols>
  <sheetData>
    <row r="2">
      <c r="B2" s="1" t="inlineStr">
        <is>
          <t>BoardExamBD — SEO Implementation Tracker</t>
        </is>
      </c>
    </row>
    <row r="3">
      <c r="B3" s="2" t="inlineStr">
        <is>
          <t>Domain: https://boardexambd.com   ·   Author: BoardExamBD Editorial Team   ·   Last updated: 26 October 2026</t>
        </is>
      </c>
    </row>
    <row r="5">
      <c r="B5" s="3" t="inlineStr">
        <is>
          <t>Progress</t>
        </is>
      </c>
    </row>
    <row r="6">
      <c r="B6" s="4" t="inlineStr">
        <is>
          <t>Total indexable pages</t>
        </is>
      </c>
      <c r="C6" s="5">
        <f>COUNTA(Pages!A2:A100)-COUNTIF(Pages!B2:B100,"Utility")</f>
        <v/>
      </c>
    </row>
    <row r="7">
      <c r="B7" s="4" t="inlineStr">
        <is>
          <t>Done</t>
        </is>
      </c>
      <c r="C7" s="5">
        <f>COUNTIFS(Pages!B2:B100,"&lt;&gt;Utility",Pages!W2:W100,"Done")</f>
        <v/>
      </c>
    </row>
    <row r="8">
      <c r="B8" s="4" t="inlineStr">
        <is>
          <t>In progress</t>
        </is>
      </c>
      <c r="C8" s="5">
        <f>COUNTIFS(Pages!B2:B100,"&lt;&gt;Utility",Pages!W2:W100,"In progress")</f>
        <v/>
      </c>
    </row>
    <row r="9">
      <c r="B9" s="4" t="inlineStr">
        <is>
          <t>Not started</t>
        </is>
      </c>
      <c r="C9" s="5">
        <f>COUNTIFS(Pages!B2:B100,"&lt;&gt;Utility",Pages!W2:W100,"Not started")</f>
        <v/>
      </c>
    </row>
    <row r="10">
      <c r="B10" s="4" t="inlineStr">
        <is>
          <t>Blocked</t>
        </is>
      </c>
      <c r="C10" s="5">
        <f>COUNTIFS(Pages!B2:B100,"&lt;&gt;Utility",Pages!W2:W100,"Blocked")</f>
        <v/>
      </c>
    </row>
    <row r="11">
      <c r="B11" s="4" t="inlineStr">
        <is>
          <t>% complete</t>
        </is>
      </c>
      <c r="C11" s="6">
        <f>IFERROR(C7/C6,0)</f>
        <v/>
      </c>
    </row>
    <row r="13">
      <c r="B13" s="3" t="inlineStr">
        <is>
          <t>Coverage by check</t>
        </is>
      </c>
    </row>
    <row r="14">
      <c r="B14" t="inlineStr">
        <is>
          <t>Title + description set</t>
        </is>
      </c>
      <c r="C14" s="5">
        <f>COUNTIFS(Pages!B2:B100,"&lt;&gt;Utility",Pages!E2:E100,"&lt;&gt;",Pages!G2:G100,"&lt;&gt;")</f>
        <v/>
      </c>
    </row>
    <row r="15">
      <c r="B15" t="inlineStr">
        <is>
          <t>Canonical set</t>
        </is>
      </c>
      <c r="C15" s="5">
        <f>COUNTIFS(Pages!B2:B100,"&lt;&gt;Utility",Pages!K2:K100,"Yes")</f>
        <v/>
      </c>
    </row>
    <row r="16">
      <c r="B16" t="inlineStr">
        <is>
          <t>Robots set</t>
        </is>
      </c>
      <c r="C16" s="5">
        <f>COUNTIFS(Pages!B2:B100,"&lt;&gt;Utility",Pages!L2:L100,"Yes")</f>
        <v/>
      </c>
    </row>
    <row r="17">
      <c r="B17" t="inlineStr">
        <is>
          <t>Open Graph set</t>
        </is>
      </c>
      <c r="C17" s="5">
        <f>COUNTIFS(Pages!B2:B100,"&lt;&gt;Utility",Pages!M2:M100,"Yes")</f>
        <v/>
      </c>
    </row>
    <row r="18">
      <c r="B18" t="inlineStr">
        <is>
          <t>Twitter Card set</t>
        </is>
      </c>
      <c r="C18" s="5">
        <f>COUNTIFS(Pages!B2:B100,"&lt;&gt;Utility",Pages!N2:N100,"Yes")</f>
        <v/>
      </c>
    </row>
    <row r="19">
      <c r="B19" t="inlineStr">
        <is>
          <t>JSON-LD set</t>
        </is>
      </c>
      <c r="C19" s="5">
        <f>COUNTIFS(Pages!B2:B100,"&lt;&gt;Utility",Pages!O2:O100,"Yes")</f>
        <v/>
      </c>
    </row>
    <row r="20">
      <c r="B20" t="inlineStr">
        <is>
          <t>Breadcrumb set</t>
        </is>
      </c>
      <c r="C20" s="5">
        <f>COUNTIFS(Pages!B2:B100,"&lt;&gt;Utility",Pages!P2:P100,"Yes")</f>
        <v/>
      </c>
    </row>
    <row r="21">
      <c r="B21" t="inlineStr">
        <is>
          <t>FAQ where relevant</t>
        </is>
      </c>
      <c r="C21" s="5">
        <f>COUNTIFS(Pages!B2:B100,"&lt;&gt;Utility",Pages!Q2:Q100,"Yes")</f>
        <v/>
      </c>
    </row>
    <row r="22">
      <c r="B22" t="inlineStr">
        <is>
          <t>Internal links checked</t>
        </is>
      </c>
      <c r="C22" s="5">
        <f>COUNTIFS(Pages!B2:B100,"&lt;&gt;Utility",Pages!R2:R100,"Yes")</f>
        <v/>
      </c>
    </row>
    <row r="23">
      <c r="B23" t="inlineStr">
        <is>
          <t>Sitemap included</t>
        </is>
      </c>
      <c r="C23" s="5">
        <f>COUNTIFS(Pages!B2:B100,"&lt;&gt;Utility",Pages!S2:S100,"Yes")</f>
        <v/>
      </c>
    </row>
    <row r="24">
      <c r="B24" t="inlineStr">
        <is>
          <t>Markdown alternate</t>
        </is>
      </c>
      <c r="C24" s="5">
        <f>COUNTIFS(Pages!B2:B100,"&lt;&gt;Utility",Pages!T2:T100,"Yes")</f>
        <v/>
      </c>
    </row>
    <row r="25">
      <c r="B25" t="inlineStr">
        <is>
          <t>Local QA passed</t>
        </is>
      </c>
      <c r="C25" s="5">
        <f>COUNTIFS(Pages!B2:B100,"&lt;&gt;Utility",Pages!U2:U100,"Pass")</f>
        <v/>
      </c>
    </row>
    <row r="27">
      <c r="B27" s="3" t="inlineStr">
        <is>
          <t>Progress by cluster</t>
        </is>
      </c>
    </row>
    <row r="28">
      <c r="B28" s="7" t="inlineStr">
        <is>
          <t>Cluster</t>
        </is>
      </c>
      <c r="C28" s="7" t="inlineStr">
        <is>
          <t>Total</t>
        </is>
      </c>
      <c r="D28" s="7" t="inlineStr">
        <is>
          <t>Done</t>
        </is>
      </c>
      <c r="E28" s="7" t="inlineStr">
        <is>
          <t>Remaining</t>
        </is>
      </c>
    </row>
    <row r="29">
      <c r="B29" s="5" t="inlineStr">
        <is>
          <t>Home</t>
        </is>
      </c>
      <c r="C29" s="5">
        <f>COUNTIF(Pages!C2:C100,"Home")</f>
        <v/>
      </c>
      <c r="D29" s="5">
        <f>COUNTIFS(Pages!C2:C100,"Home",Pages!W2:W100,"Done")</f>
        <v/>
      </c>
      <c r="E29" s="5">
        <f>C29-D29</f>
        <v/>
      </c>
    </row>
    <row r="30">
      <c r="B30" s="5" t="inlineStr">
        <is>
          <t>SSC</t>
        </is>
      </c>
      <c r="C30" s="5">
        <f>COUNTIF(Pages!C2:C100,"SSC")</f>
        <v/>
      </c>
      <c r="D30" s="5">
        <f>COUNTIFS(Pages!C2:C100,"SSC",Pages!W2:W100,"Done")</f>
        <v/>
      </c>
      <c r="E30" s="5">
        <f>C30-D30</f>
        <v/>
      </c>
    </row>
    <row r="31">
      <c r="B31" s="5" t="inlineStr">
        <is>
          <t>HSC</t>
        </is>
      </c>
      <c r="C31" s="5">
        <f>COUNTIF(Pages!C2:C100,"HSC")</f>
        <v/>
      </c>
      <c r="D31" s="5">
        <f>COUNTIFS(Pages!C2:C100,"HSC",Pages!W2:W100,"Done")</f>
        <v/>
      </c>
      <c r="E31" s="5">
        <f>C31-D31</f>
        <v/>
      </c>
    </row>
    <row r="32">
      <c r="B32" s="5" t="inlineStr">
        <is>
          <t>Admission</t>
        </is>
      </c>
      <c r="C32" s="5">
        <f>COUNTIF(Pages!C2:C100,"Admission")</f>
        <v/>
      </c>
      <c r="D32" s="5">
        <f>COUNTIFS(Pages!C2:C100,"Admission",Pages!W2:W100,"Done")</f>
        <v/>
      </c>
      <c r="E32" s="5">
        <f>C32-D32</f>
        <v/>
      </c>
    </row>
    <row r="33">
      <c r="B33" s="5" t="inlineStr">
        <is>
          <t>Blog</t>
        </is>
      </c>
      <c r="C33" s="5">
        <f>COUNTIF(Pages!C2:C100,"Blog")</f>
        <v/>
      </c>
      <c r="D33" s="5">
        <f>COUNTIFS(Pages!C2:C100,"Blog",Pages!W2:W100,"Done")</f>
        <v/>
      </c>
      <c r="E33" s="5">
        <f>C33-D33</f>
        <v/>
      </c>
    </row>
    <row r="36">
      <c r="B36" s="3" t="inlineStr">
        <is>
          <t>Reminder</t>
        </is>
      </c>
    </row>
    <row r="37">
      <c r="B37" s="8" t="inlineStr">
        <is>
          <t>Update the status column on the Pages sheet after each page passes local QA. Live QA stays "Pending deploy" until boardexambd.com is live. The 404.html utility page is tracked on Pages but excluded from progress totals and the sitemap.</t>
        </is>
      </c>
    </row>
    <row r="38"/>
    <row r="39"/>
  </sheetData>
  <mergeCells count="1">
    <mergeCell ref="B37:G39"/>
  </mergeCells>
  <conditionalFormatting sqref="C11">
    <cfRule type="dataBar" priority="1">
      <dataBar>
        <cfvo type="num" val="0"/>
        <cfvo type="num" val="1"/>
        <color rgb="004F46E5"/>
      </dataBar>
    </cfRule>
  </conditionalFormatting>
  <pageMargins left="0.75" right="0.75" top="1" bottom="1" header="0.5" footer="0.5"/>
</worksheet>
</file>

<file path=xl/worksheets/sheet2.xml><?xml version="1.0" encoding="utf-8"?>
<worksheet xmlns="http://schemas.openxmlformats.org/spreadsheetml/2006/main">
  <sheetPr>
    <tabColor rgb="000EA5E9"/>
    <outlinePr summaryBelow="1" summaryRight="1"/>
    <pageSetUpPr/>
  </sheetPr>
  <dimension ref="A1:Z23"/>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2" customWidth="1" min="3" max="3"/>
    <col width="48" customWidth="1" min="4" max="4"/>
    <col width="54" customWidth="1" min="5" max="5"/>
    <col width="12" customWidth="1" min="6" max="6"/>
    <col width="64" customWidth="1" min="7" max="7"/>
    <col width="14" customWidth="1" min="8" max="8"/>
    <col width="52" customWidth="1" min="9" max="9"/>
    <col width="10" customWidth="1" min="10" max="10"/>
    <col width="42" customWidth="1" min="11" max="11"/>
    <col width="16" customWidth="1" min="12" max="12"/>
    <col width="10" customWidth="1" min="13" max="13"/>
    <col width="10" customWidth="1" min="14" max="14"/>
    <col width="42" customWidth="1" min="15" max="15"/>
    <col width="12" customWidth="1" min="16" max="16"/>
    <col width="10" customWidth="1" min="17" max="17"/>
    <col width="14" customWidth="1" min="18" max="18"/>
    <col width="11" customWidth="1" min="19" max="19"/>
    <col width="11" customWidth="1" min="20" max="20"/>
    <col width="12" customWidth="1" min="21" max="21"/>
    <col width="14" customWidth="1" min="22" max="22"/>
    <col width="12" customWidth="1" min="23" max="23"/>
    <col width="12" customWidth="1" min="24" max="24"/>
    <col width="14" customWidth="1" min="25" max="25"/>
    <col width="54" customWidth="1" min="26" max="26"/>
  </cols>
  <sheetData>
    <row r="1" ht="32" customHeight="1">
      <c r="A1" s="9" t="inlineStr">
        <is>
          <t>Page</t>
        </is>
      </c>
      <c r="B1" s="9" t="inlineStr">
        <is>
          <t>Type</t>
        </is>
      </c>
      <c r="C1" s="9" t="inlineStr">
        <is>
          <t>Cluster</t>
        </is>
      </c>
      <c r="D1" s="9" t="inlineStr">
        <is>
          <t>URL</t>
        </is>
      </c>
      <c r="E1" s="9" t="inlineStr">
        <is>
          <t>Title</t>
        </is>
      </c>
      <c r="F1" s="9" t="inlineStr">
        <is>
          <t>Title length</t>
        </is>
      </c>
      <c r="G1" s="9" t="inlineStr">
        <is>
          <t>Description</t>
        </is>
      </c>
      <c r="H1" s="9" t="inlineStr">
        <is>
          <t>Description length</t>
        </is>
      </c>
      <c r="I1" s="9" t="inlineStr">
        <is>
          <t>H1</t>
        </is>
      </c>
      <c r="J1" s="9" t="inlineStr">
        <is>
          <t>H1 count</t>
        </is>
      </c>
      <c r="K1" s="9" t="inlineStr">
        <is>
          <t>Canonical</t>
        </is>
      </c>
      <c r="L1" s="9" t="inlineStr">
        <is>
          <t>Robots</t>
        </is>
      </c>
      <c r="M1" s="9" t="inlineStr">
        <is>
          <t>OG</t>
        </is>
      </c>
      <c r="N1" s="9" t="inlineStr">
        <is>
          <t>Twitter</t>
        </is>
      </c>
      <c r="O1" s="9" t="inlineStr">
        <is>
          <t>JSON-LD</t>
        </is>
      </c>
      <c r="P1" s="9" t="inlineStr">
        <is>
          <t>Breadcrumb</t>
        </is>
      </c>
      <c r="Q1" s="9" t="inlineStr">
        <is>
          <t>FAQ</t>
        </is>
      </c>
      <c r="R1" s="9" t="inlineStr">
        <is>
          <t>Internal links</t>
        </is>
      </c>
      <c r="S1" s="9" t="inlineStr">
        <is>
          <t>Sitemap</t>
        </is>
      </c>
      <c r="T1" s="9" t="inlineStr">
        <is>
          <t>Markdown</t>
        </is>
      </c>
      <c r="U1" s="9" t="inlineStr">
        <is>
          <t>Local QA</t>
        </is>
      </c>
      <c r="V1" s="9" t="inlineStr">
        <is>
          <t>Live QA</t>
        </is>
      </c>
      <c r="W1" s="9" t="inlineStr">
        <is>
          <t>Status</t>
        </is>
      </c>
      <c r="X1" s="9" t="inlineStr">
        <is>
          <t>Done date</t>
        </is>
      </c>
      <c r="Y1" s="9" t="inlineStr">
        <is>
          <t>Next review</t>
        </is>
      </c>
      <c r="Z1" s="9" t="inlineStr">
        <is>
          <t>Notes</t>
        </is>
      </c>
    </row>
    <row r="2">
      <c r="A2" s="10" t="inlineStr">
        <is>
          <t>index.html</t>
        </is>
      </c>
      <c r="B2" s="11" t="inlineStr">
        <is>
          <t>Home</t>
        </is>
      </c>
      <c r="C2" s="11" t="inlineStr">
        <is>
          <t>Home</t>
        </is>
      </c>
      <c r="D2" s="11" t="inlineStr">
        <is>
          <t>https://boardexambd.com/</t>
        </is>
      </c>
      <c r="E2" s="11" t="inlineStr">
        <is>
          <t>SSC, HSC &amp; Admission Notices 2026 | BoardExamBD</t>
        </is>
      </c>
      <c r="F2">
        <f>LEN(E2)</f>
        <v/>
      </c>
      <c r="G2" s="11" t="inlineStr">
        <is>
          <t>Latest SSC, HSC and university admission notices, routines, results and form fill-up dates for Bangladesh — verified and explained simply.</t>
        </is>
      </c>
      <c r="H2">
        <f>LEN(G2)</f>
        <v/>
      </c>
      <c r="I2" s="11" t="inlineStr">
        <is>
          <t>SSC, HSC &amp; Admission Notices and Routines in Bangladesh</t>
        </is>
      </c>
      <c r="J2" t="n">
        <v>1</v>
      </c>
      <c r="K2" t="inlineStr">
        <is>
          <t>Pending</t>
        </is>
      </c>
      <c r="L2" t="inlineStr">
        <is>
          <t>index, follow</t>
        </is>
      </c>
      <c r="M2" t="inlineStr">
        <is>
          <t>Pending</t>
        </is>
      </c>
      <c r="N2" t="inlineStr">
        <is>
          <t>Pending</t>
        </is>
      </c>
      <c r="O2" s="11" t="inlineStr">
        <is>
          <t>WebSite + Organization + WebPage</t>
        </is>
      </c>
      <c r="P2" t="inlineStr">
        <is>
          <t>N/A</t>
        </is>
      </c>
      <c r="Q2" t="inlineStr">
        <is>
          <t>N/A</t>
        </is>
      </c>
      <c r="R2" t="inlineStr">
        <is>
          <t>Pending</t>
        </is>
      </c>
      <c r="S2" t="inlineStr">
        <is>
          <t>Pending</t>
        </is>
      </c>
      <c r="T2" t="inlineStr">
        <is>
          <t>N/A</t>
        </is>
      </c>
      <c r="U2" t="inlineStr">
        <is>
          <t>Pending</t>
        </is>
      </c>
      <c r="V2" t="inlineStr">
        <is>
          <t>Pending deploy</t>
        </is>
      </c>
      <c r="W2" t="inlineStr">
        <is>
          <t>Not started</t>
        </is>
      </c>
      <c r="X2" t="inlineStr"/>
      <c r="Y2" t="inlineStr">
        <is>
          <t>2026-11-15</t>
        </is>
      </c>
      <c r="Z2" s="11" t="inlineStr">
        <is>
          <t>Homepage; no breadcrumb schema.</t>
        </is>
      </c>
    </row>
    <row r="3">
      <c r="A3" s="10" t="inlineStr">
        <is>
          <t>ssc.html</t>
        </is>
      </c>
      <c r="B3" s="11" t="inlineStr">
        <is>
          <t>Category hub</t>
        </is>
      </c>
      <c r="C3" s="11" t="inlineStr">
        <is>
          <t>SSC</t>
        </is>
      </c>
      <c r="D3" s="11" t="inlineStr">
        <is>
          <t>https://boardexambd.com/ssc</t>
        </is>
      </c>
      <c r="E3" s="11" t="inlineStr">
        <is>
          <t>SSC Notices &amp; Routine 2026 — All Boards | BoardExamBD</t>
        </is>
      </c>
      <c r="F3">
        <f>LEN(E3)</f>
        <v/>
      </c>
      <c r="G3" s="11" t="inlineStr">
        <is>
          <t>SSC exam notices, routine, result and form fill-up updates for all Bangladesh education boards — clear dates and official links.</t>
        </is>
      </c>
      <c r="H3">
        <f>LEN(G3)</f>
        <v/>
      </c>
      <c r="I3" s="11" t="inlineStr">
        <is>
          <t>SSC Notices &amp; Routine 2026</t>
        </is>
      </c>
      <c r="J3" t="n">
        <v>1</v>
      </c>
      <c r="K3" t="inlineStr">
        <is>
          <t>Pending</t>
        </is>
      </c>
      <c r="L3" t="inlineStr">
        <is>
          <t>index, follow</t>
        </is>
      </c>
      <c r="M3" t="inlineStr">
        <is>
          <t>Pending</t>
        </is>
      </c>
      <c r="N3" t="inlineStr">
        <is>
          <t>Pending</t>
        </is>
      </c>
      <c r="O3" s="11" t="inlineStr">
        <is>
          <t>CollectionPage + ItemList + BreadcrumbList + FAQPage</t>
        </is>
      </c>
      <c r="P3" t="inlineStr">
        <is>
          <t>Pending</t>
        </is>
      </c>
      <c r="Q3" t="inlineStr">
        <is>
          <t>Yes</t>
        </is>
      </c>
      <c r="R3" t="inlineStr">
        <is>
          <t>Pending</t>
        </is>
      </c>
      <c r="S3" t="inlineStr">
        <is>
          <t>Pending</t>
        </is>
      </c>
      <c r="T3" t="inlineStr">
        <is>
          <t>N/A</t>
        </is>
      </c>
      <c r="U3" t="inlineStr">
        <is>
          <t>Pending</t>
        </is>
      </c>
      <c r="V3" t="inlineStr">
        <is>
          <t>Pending deploy</t>
        </is>
      </c>
      <c r="W3" t="inlineStr">
        <is>
          <t>Not started</t>
        </is>
      </c>
      <c r="X3" t="inlineStr"/>
      <c r="Y3" t="inlineStr">
        <is>
          <t>2026-11-15</t>
        </is>
      </c>
      <c r="Z3" s="11" t="inlineStr">
        <is>
          <t>Rebuilt hub with verified SSC dates, guide cards, timeline and FAQs.</t>
        </is>
      </c>
    </row>
    <row r="4">
      <c r="A4" s="10" t="inlineStr">
        <is>
          <t>hsc.html</t>
        </is>
      </c>
      <c r="B4" s="11" t="inlineStr">
        <is>
          <t>Category hub</t>
        </is>
      </c>
      <c r="C4" s="11" t="inlineStr">
        <is>
          <t>HSC</t>
        </is>
      </c>
      <c r="D4" s="11" t="inlineStr">
        <is>
          <t>https://boardexambd.com/hsc</t>
        </is>
      </c>
      <c r="E4" s="11" t="inlineStr">
        <is>
          <t>HSC Notices &amp; Routine 2026 — All Boards | BoardExamBD</t>
        </is>
      </c>
      <c r="F4">
        <f>LEN(E4)</f>
        <v/>
      </c>
      <c r="G4" s="11" t="inlineStr">
        <is>
          <t>HSC exam notices, routine, result, form fill-up and practical exam updates for all Bangladesh education boards — explained simply.</t>
        </is>
      </c>
      <c r="H4">
        <f>LEN(G4)</f>
        <v/>
      </c>
      <c r="I4" s="11" t="inlineStr">
        <is>
          <t>HSC Notices &amp; Routine 2026</t>
        </is>
      </c>
      <c r="J4" t="n">
        <v>1</v>
      </c>
      <c r="K4" t="inlineStr">
        <is>
          <t>Pending</t>
        </is>
      </c>
      <c r="L4" t="inlineStr">
        <is>
          <t>index, follow</t>
        </is>
      </c>
      <c r="M4" t="inlineStr">
        <is>
          <t>Pending</t>
        </is>
      </c>
      <c r="N4" t="inlineStr">
        <is>
          <t>Pending</t>
        </is>
      </c>
      <c r="O4" s="11" t="inlineStr">
        <is>
          <t>CollectionPage + ItemList + BreadcrumbList + FAQPage</t>
        </is>
      </c>
      <c r="P4" t="inlineStr">
        <is>
          <t>Pending</t>
        </is>
      </c>
      <c r="Q4" t="inlineStr">
        <is>
          <t>Yes</t>
        </is>
      </c>
      <c r="R4" t="inlineStr">
        <is>
          <t>Pending</t>
        </is>
      </c>
      <c r="S4" t="inlineStr">
        <is>
          <t>Pending</t>
        </is>
      </c>
      <c r="T4" t="inlineStr">
        <is>
          <t>N/A</t>
        </is>
      </c>
      <c r="U4" t="inlineStr">
        <is>
          <t>Pending</t>
        </is>
      </c>
      <c r="V4" t="inlineStr">
        <is>
          <t>Pending deploy</t>
        </is>
      </c>
      <c r="W4" t="inlineStr">
        <is>
          <t>Not started</t>
        </is>
      </c>
      <c r="X4" t="inlineStr"/>
      <c r="Y4" t="inlineStr">
        <is>
          <t>2026-11-15</t>
        </is>
      </c>
      <c r="Z4" s="11" t="inlineStr">
        <is>
          <t>Rebuilt hub with verified SSC dates, guide cards, timeline and FAQs.</t>
        </is>
      </c>
    </row>
    <row r="5">
      <c r="A5" s="10" t="inlineStr">
        <is>
          <t>admission.html</t>
        </is>
      </c>
      <c r="B5" s="11" t="inlineStr">
        <is>
          <t>Category hub</t>
        </is>
      </c>
      <c r="C5" s="11" t="inlineStr">
        <is>
          <t>Admission</t>
        </is>
      </c>
      <c r="D5" s="11" t="inlineStr">
        <is>
          <t>https://boardexambd.com/admission</t>
        </is>
      </c>
      <c r="E5" s="11" t="inlineStr">
        <is>
          <t>University Admission 2026-27 Notices | BoardExamBD</t>
        </is>
      </c>
      <c r="F5">
        <f>LEN(E5)</f>
        <v/>
      </c>
      <c r="G5" s="11" t="inlineStr">
        <is>
          <t>University admission notices for 2026-27 — DU, BUET, medical, GST, RU, RUET, KU and SUST application dates, tests and requirements.</t>
        </is>
      </c>
      <c r="H5">
        <f>LEN(G5)</f>
        <v/>
      </c>
      <c r="I5" s="11" t="inlineStr">
        <is>
          <t>University Admission Notices 2026-27</t>
        </is>
      </c>
      <c r="J5" t="n">
        <v>1</v>
      </c>
      <c r="K5" t="inlineStr">
        <is>
          <t>Pending</t>
        </is>
      </c>
      <c r="L5" t="inlineStr">
        <is>
          <t>index, follow</t>
        </is>
      </c>
      <c r="M5" t="inlineStr">
        <is>
          <t>Pending</t>
        </is>
      </c>
      <c r="N5" t="inlineStr">
        <is>
          <t>Pending</t>
        </is>
      </c>
      <c r="O5" s="11" t="inlineStr">
        <is>
          <t>CollectionPage + ItemList + BreadcrumbList + FAQPage</t>
        </is>
      </c>
      <c r="P5" t="inlineStr">
        <is>
          <t>Pending</t>
        </is>
      </c>
      <c r="Q5" t="inlineStr">
        <is>
          <t>Yes</t>
        </is>
      </c>
      <c r="R5" t="inlineStr">
        <is>
          <t>Pending</t>
        </is>
      </c>
      <c r="S5" t="inlineStr">
        <is>
          <t>Pending</t>
        </is>
      </c>
      <c r="T5" t="inlineStr">
        <is>
          <t>N/A</t>
        </is>
      </c>
      <c r="U5" t="inlineStr">
        <is>
          <t>Pending</t>
        </is>
      </c>
      <c r="V5" t="inlineStr">
        <is>
          <t>Pending deploy</t>
        </is>
      </c>
      <c r="W5" t="inlineStr">
        <is>
          <t>Not started</t>
        </is>
      </c>
      <c r="X5" t="inlineStr"/>
      <c r="Y5" t="inlineStr">
        <is>
          <t>2026-11-10</t>
        </is>
      </c>
      <c r="Z5" s="11" t="inlineStr">
        <is>
          <t>Rebuilt hub with verified admission tracker, guide cards and FAQs.</t>
        </is>
      </c>
    </row>
    <row r="6">
      <c r="A6" s="10" t="inlineStr">
        <is>
          <t>blog.html</t>
        </is>
      </c>
      <c r="B6" s="11" t="inlineStr">
        <is>
          <t>Blog hub</t>
        </is>
      </c>
      <c r="C6" s="11" t="inlineStr">
        <is>
          <t>Blog</t>
        </is>
      </c>
      <c r="D6" s="11" t="inlineStr">
        <is>
          <t>https://boardexambd.com/blog</t>
        </is>
      </c>
      <c r="E6" s="11" t="inlineStr">
        <is>
          <t>SSC, HSC &amp; Admission Guides 2026 | BoardExamBD</t>
        </is>
      </c>
      <c r="F6">
        <f>LEN(E6)</f>
        <v/>
      </c>
      <c r="G6" s="11" t="inlineStr">
        <is>
          <t>All BoardExamBD guides — SSC and HSC routines, results, form fill-up, and university admission dates for Bangladesh, explained simply.</t>
        </is>
      </c>
      <c r="H6">
        <f>LEN(G6)</f>
        <v/>
      </c>
      <c r="I6" s="11" t="inlineStr">
        <is>
          <t>SSC, HSC &amp; Admission Guides</t>
        </is>
      </c>
      <c r="J6" t="n">
        <v>1</v>
      </c>
      <c r="K6" t="inlineStr">
        <is>
          <t>Pending</t>
        </is>
      </c>
      <c r="L6" t="inlineStr">
        <is>
          <t>index, follow</t>
        </is>
      </c>
      <c r="M6" t="inlineStr">
        <is>
          <t>Pending</t>
        </is>
      </c>
      <c r="N6" t="inlineStr">
        <is>
          <t>Pending</t>
        </is>
      </c>
      <c r="O6" s="11" t="inlineStr">
        <is>
          <t>CollectionPage + ItemList + BreadcrumbList</t>
        </is>
      </c>
      <c r="P6" t="inlineStr">
        <is>
          <t>Pending</t>
        </is>
      </c>
      <c r="Q6" t="inlineStr">
        <is>
          <t>N/A</t>
        </is>
      </c>
      <c r="R6" t="inlineStr">
        <is>
          <t>Pending</t>
        </is>
      </c>
      <c r="S6" t="inlineStr">
        <is>
          <t>Pending</t>
        </is>
      </c>
      <c r="T6" t="inlineStr">
        <is>
          <t>N/A</t>
        </is>
      </c>
      <c r="U6" t="inlineStr">
        <is>
          <t>Pending</t>
        </is>
      </c>
      <c r="V6" t="inlineStr">
        <is>
          <t>Pending deploy</t>
        </is>
      </c>
      <c r="W6" t="inlineStr">
        <is>
          <t>Not started</t>
        </is>
      </c>
      <c r="X6" t="inlineStr"/>
      <c r="Y6" t="inlineStr">
        <is>
          <t>2026-11-15</t>
        </is>
      </c>
      <c r="Z6" s="11" t="inlineStr">
        <is>
          <t>Article hub; grouped by SSC, HSC and Admission.</t>
        </is>
      </c>
    </row>
    <row r="7">
      <c r="A7" s="10" t="inlineStr">
        <is>
          <t>ssc-2026-routine.html</t>
        </is>
      </c>
      <c r="B7" s="11" t="inlineStr">
        <is>
          <t>Article</t>
        </is>
      </c>
      <c r="C7" s="11" t="inlineStr">
        <is>
          <t>SSC</t>
        </is>
      </c>
      <c r="D7" s="11" t="inlineStr">
        <is>
          <t>https://boardexambd.com/ssc-2026-routine</t>
        </is>
      </c>
      <c r="E7" s="11" t="inlineStr">
        <is>
          <t>SSC 2026 Routine — Full Exam Schedule | BoardExamBD</t>
        </is>
      </c>
      <c r="F7">
        <f>LEN(E7)</f>
        <v/>
      </c>
      <c r="G7" s="11" t="inlineStr">
        <is>
          <t>SSC 2026 exam routine with subject-wise dates, subject codes, 10:00 AM start time and official board instructions for all general boards.</t>
        </is>
      </c>
      <c r="H7">
        <f>LEN(G7)</f>
        <v/>
      </c>
      <c r="I7" s="11" t="inlineStr">
        <is>
          <t>SSC 2026 Exam Routine — Full Schedule &amp; Details</t>
        </is>
      </c>
      <c r="J7" t="n">
        <v>1</v>
      </c>
      <c r="K7" t="inlineStr">
        <is>
          <t>Pending</t>
        </is>
      </c>
      <c r="L7" t="inlineStr">
        <is>
          <t>index, follow</t>
        </is>
      </c>
      <c r="M7" t="inlineStr">
        <is>
          <t>Pending</t>
        </is>
      </c>
      <c r="N7" t="inlineStr">
        <is>
          <t>Pending</t>
        </is>
      </c>
      <c r="O7" s="11" t="inlineStr">
        <is>
          <t>Article + Organization + WebPage + BreadcrumbList + FAQPage</t>
        </is>
      </c>
      <c r="P7" t="inlineStr">
        <is>
          <t>Pending</t>
        </is>
      </c>
      <c r="Q7" t="inlineStr">
        <is>
          <t>Yes</t>
        </is>
      </c>
      <c r="R7" t="inlineStr">
        <is>
          <t>Pending</t>
        </is>
      </c>
      <c r="S7" t="inlineStr">
        <is>
          <t>Pending</t>
        </is>
      </c>
      <c r="T7" t="inlineStr">
        <is>
          <t>Pending</t>
        </is>
      </c>
      <c r="U7" t="inlineStr">
        <is>
          <t>Pending</t>
        </is>
      </c>
      <c r="V7" t="inlineStr">
        <is>
          <t>Pending deploy</t>
        </is>
      </c>
      <c r="W7" t="inlineStr">
        <is>
          <t>Not started</t>
        </is>
      </c>
      <c r="X7" t="inlineStr"/>
      <c r="Y7" t="inlineStr">
        <is>
          <t>2026-11-15</t>
        </is>
      </c>
      <c r="Z7" s="11" t="inlineStr">
        <is>
          <t>Original routine notice preserved with images and rules.</t>
        </is>
      </c>
    </row>
    <row r="8">
      <c r="A8" s="10" t="inlineStr">
        <is>
          <t>ssc-2026-result.html</t>
        </is>
      </c>
      <c r="B8" s="11" t="inlineStr">
        <is>
          <t>Article</t>
        </is>
      </c>
      <c r="C8" s="11" t="inlineStr">
        <is>
          <t>SSC</t>
        </is>
      </c>
      <c r="D8" s="11" t="inlineStr">
        <is>
          <t>https://boardexambd.com/ssc-2026-result</t>
        </is>
      </c>
      <c r="E8" s="11" t="inlineStr">
        <is>
          <t>SSC Result 2026 — Date &amp; How to Check | BoardExamBD</t>
        </is>
      </c>
      <c r="F8">
        <f>LEN(E8)</f>
        <v/>
      </c>
      <c r="G8" s="11" t="inlineStr">
        <is>
          <t>SSC and Dakhil result 2026 was published on 10 August. Check your marksheet online, by SMS or at school with this step-by-step guide.</t>
        </is>
      </c>
      <c r="H8">
        <f>LEN(G8)</f>
        <v/>
      </c>
      <c r="I8" s="11" t="inlineStr">
        <is>
          <t>SSC Result 2026 — Date &amp; How to Check Online &amp; SMS</t>
        </is>
      </c>
      <c r="J8" t="n">
        <v>1</v>
      </c>
      <c r="K8" t="inlineStr">
        <is>
          <t>Pending</t>
        </is>
      </c>
      <c r="L8" t="inlineStr">
        <is>
          <t>index, follow</t>
        </is>
      </c>
      <c r="M8" t="inlineStr">
        <is>
          <t>Pending</t>
        </is>
      </c>
      <c r="N8" t="inlineStr">
        <is>
          <t>Pending</t>
        </is>
      </c>
      <c r="O8" s="11" t="inlineStr">
        <is>
          <t>Article + Organization + WebPage + BreadcrumbList + FAQPage</t>
        </is>
      </c>
      <c r="P8" t="inlineStr">
        <is>
          <t>Pending</t>
        </is>
      </c>
      <c r="Q8" t="inlineStr">
        <is>
          <t>Yes</t>
        </is>
      </c>
      <c r="R8" t="inlineStr">
        <is>
          <t>Pending</t>
        </is>
      </c>
      <c r="S8" t="inlineStr">
        <is>
          <t>Pending</t>
        </is>
      </c>
      <c r="T8" t="inlineStr">
        <is>
          <t>Pending</t>
        </is>
      </c>
      <c r="U8" t="inlineStr">
        <is>
          <t>Pending</t>
        </is>
      </c>
      <c r="V8" t="inlineStr">
        <is>
          <t>Pending deploy</t>
        </is>
      </c>
      <c r="W8" t="inlineStr">
        <is>
          <t>Not started</t>
        </is>
      </c>
      <c r="X8" t="inlineStr"/>
      <c r="Y8" t="inlineStr">
        <is>
          <t>2026-11-15</t>
        </is>
      </c>
      <c r="Z8" s="11" t="inlineStr">
        <is>
          <t>Result already published; keep steps and SMS format.</t>
        </is>
      </c>
    </row>
    <row r="9">
      <c r="A9" s="10" t="inlineStr">
        <is>
          <t>ssc-form-fillup-2027.html</t>
        </is>
      </c>
      <c r="B9" s="11" t="inlineStr">
        <is>
          <t>Article</t>
        </is>
      </c>
      <c r="C9" s="11" t="inlineStr">
        <is>
          <t>SSC</t>
        </is>
      </c>
      <c r="D9" s="11" t="inlineStr">
        <is>
          <t>https://boardexambd.com/ssc-form-fillup-2027</t>
        </is>
      </c>
      <c r="E9" s="11" t="inlineStr">
        <is>
          <t>SSC Form Fill-up 2027 — Dates &amp; Process | BoardExamBD</t>
        </is>
      </c>
      <c r="F9">
        <f>LEN(E9)</f>
        <v/>
      </c>
      <c r="G9" s="11" t="inlineStr">
        <is>
          <t>SSC 2027 form fill-up runs through your institution. See the announced online window, fees, late fee rules and step-by-step process.</t>
        </is>
      </c>
      <c r="H9">
        <f>LEN(G9)</f>
        <v/>
      </c>
      <c r="I9" s="11" t="inlineStr">
        <is>
          <t>SSC Form Fill-up 2027 — Dates &amp; How to Apply</t>
        </is>
      </c>
      <c r="J9" t="n">
        <v>1</v>
      </c>
      <c r="K9" t="inlineStr">
        <is>
          <t>Pending</t>
        </is>
      </c>
      <c r="L9" t="inlineStr">
        <is>
          <t>index, follow</t>
        </is>
      </c>
      <c r="M9" t="inlineStr">
        <is>
          <t>Pending</t>
        </is>
      </c>
      <c r="N9" t="inlineStr">
        <is>
          <t>Pending</t>
        </is>
      </c>
      <c r="O9" s="11" t="inlineStr">
        <is>
          <t>Article + Organization + WebPage + BreadcrumbList + FAQPage</t>
        </is>
      </c>
      <c r="P9" t="inlineStr">
        <is>
          <t>Pending</t>
        </is>
      </c>
      <c r="Q9" t="inlineStr">
        <is>
          <t>Yes</t>
        </is>
      </c>
      <c r="R9" t="inlineStr">
        <is>
          <t>Pending</t>
        </is>
      </c>
      <c r="S9" t="inlineStr">
        <is>
          <t>Pending</t>
        </is>
      </c>
      <c r="T9" t="inlineStr">
        <is>
          <t>Pending</t>
        </is>
      </c>
      <c r="U9" t="inlineStr">
        <is>
          <t>Pending</t>
        </is>
      </c>
      <c r="V9" t="inlineStr">
        <is>
          <t>Pending deploy</t>
        </is>
      </c>
      <c r="W9" t="inlineStr">
        <is>
          <t>Not started</t>
        </is>
      </c>
      <c r="X9" t="inlineStr"/>
      <c r="Y9" t="inlineStr">
        <is>
          <t>2026-11-24</t>
        </is>
      </c>
      <c r="Z9" s="11" t="inlineStr">
        <is>
          <t>Critical date window 16–23 Nov 2026; update after it closes.</t>
        </is>
      </c>
    </row>
    <row r="10">
      <c r="A10" s="10" t="inlineStr">
        <is>
          <t>ssc-board-challenge-2026.html</t>
        </is>
      </c>
      <c r="B10" s="11" t="inlineStr">
        <is>
          <t>Article</t>
        </is>
      </c>
      <c r="C10" s="11" t="inlineStr">
        <is>
          <t>SSC</t>
        </is>
      </c>
      <c r="D10" s="11" t="inlineStr">
        <is>
          <t>https://boardexambd.com/ssc-board-challenge-2026</t>
        </is>
      </c>
      <c r="E10" s="11" t="inlineStr">
        <is>
          <t>SSC Board Challenge 2026 — Fees &amp; Result | BoardExamBD</t>
        </is>
      </c>
      <c r="F10">
        <f>LEN(E10)</f>
        <v/>
      </c>
      <c r="G10" s="11" t="inlineStr">
        <is>
          <t>SSC board challenge 2026 applications ran 11–17 August by SMS, Tk 150 per paper, results on 10 September. See the full process and next cycle.</t>
        </is>
      </c>
      <c r="H10">
        <f>LEN(G10)</f>
        <v/>
      </c>
      <c r="I10" s="11" t="inlineStr">
        <is>
          <t>SSC Board Challenge 2026 — Process, Fees &amp; Result</t>
        </is>
      </c>
      <c r="J10" t="n">
        <v>1</v>
      </c>
      <c r="K10" t="inlineStr">
        <is>
          <t>Pending</t>
        </is>
      </c>
      <c r="L10" t="inlineStr">
        <is>
          <t>index, follow</t>
        </is>
      </c>
      <c r="M10" t="inlineStr">
        <is>
          <t>Pending</t>
        </is>
      </c>
      <c r="N10" t="inlineStr">
        <is>
          <t>Pending</t>
        </is>
      </c>
      <c r="O10" s="11" t="inlineStr">
        <is>
          <t>Article + Organization + WebPage + BreadcrumbList + FAQPage</t>
        </is>
      </c>
      <c r="P10" t="inlineStr">
        <is>
          <t>Pending</t>
        </is>
      </c>
      <c r="Q10" t="inlineStr">
        <is>
          <t>Yes</t>
        </is>
      </c>
      <c r="R10" t="inlineStr">
        <is>
          <t>Pending</t>
        </is>
      </c>
      <c r="S10" t="inlineStr">
        <is>
          <t>Pending</t>
        </is>
      </c>
      <c r="T10" t="inlineStr">
        <is>
          <t>Pending</t>
        </is>
      </c>
      <c r="U10" t="inlineStr">
        <is>
          <t>Pending</t>
        </is>
      </c>
      <c r="V10" t="inlineStr">
        <is>
          <t>Pending deploy</t>
        </is>
      </c>
      <c r="W10" t="inlineStr">
        <is>
          <t>Not started</t>
        </is>
      </c>
      <c r="X10" t="inlineStr"/>
      <c r="Y10" t="inlineStr">
        <is>
          <t>2026-11-15</t>
        </is>
      </c>
      <c r="Z10" s="11" t="inlineStr">
        <is>
          <t>2026 cycle complete; next update after SSC 2027 result.</t>
        </is>
      </c>
    </row>
    <row r="11">
      <c r="A11" s="10" t="inlineStr">
        <is>
          <t>hsc-2026-routine.html</t>
        </is>
      </c>
      <c r="B11" s="11" t="inlineStr">
        <is>
          <t>Article</t>
        </is>
      </c>
      <c r="C11" s="11" t="inlineStr">
        <is>
          <t>HSC</t>
        </is>
      </c>
      <c r="D11" s="11" t="inlineStr">
        <is>
          <t>https://boardexambd.com/hsc-2026-routine</t>
        </is>
      </c>
      <c r="E11" s="11" t="inlineStr">
        <is>
          <t>HSC Routine 2026 — Exam Dates &amp; Schedule | BoardExamBD</t>
        </is>
      </c>
      <c r="F11">
        <f>LEN(E11)</f>
        <v/>
      </c>
      <c r="G11" s="11" t="inlineStr">
        <is>
          <t>HSC 2026 routine with written exam dates from 2 July to 8 August, practical exams by 15 August, and exam times for all education boards.</t>
        </is>
      </c>
      <c r="H11">
        <f>LEN(G11)</f>
        <v/>
      </c>
      <c r="I11" s="11" t="inlineStr">
        <is>
          <t>HSC Routine 2026 — Exam Dates &amp; Full Schedule</t>
        </is>
      </c>
      <c r="J11" t="n">
        <v>1</v>
      </c>
      <c r="K11" t="inlineStr">
        <is>
          <t>Pending</t>
        </is>
      </c>
      <c r="L11" t="inlineStr">
        <is>
          <t>index, follow</t>
        </is>
      </c>
      <c r="M11" t="inlineStr">
        <is>
          <t>Pending</t>
        </is>
      </c>
      <c r="N11" t="inlineStr">
        <is>
          <t>Pending</t>
        </is>
      </c>
      <c r="O11" s="11" t="inlineStr">
        <is>
          <t>Article + Organization + WebPage + BreadcrumbList + FAQPage</t>
        </is>
      </c>
      <c r="P11" t="inlineStr">
        <is>
          <t>Pending</t>
        </is>
      </c>
      <c r="Q11" t="inlineStr">
        <is>
          <t>Yes</t>
        </is>
      </c>
      <c r="R11" t="inlineStr">
        <is>
          <t>Pending</t>
        </is>
      </c>
      <c r="S11" t="inlineStr">
        <is>
          <t>Pending</t>
        </is>
      </c>
      <c r="T11" t="inlineStr">
        <is>
          <t>Pending</t>
        </is>
      </c>
      <c r="U11" t="inlineStr">
        <is>
          <t>Pending</t>
        </is>
      </c>
      <c r="V11" t="inlineStr">
        <is>
          <t>Pending deploy</t>
        </is>
      </c>
      <c r="W11" t="inlineStr">
        <is>
          <t>Not started</t>
        </is>
      </c>
      <c r="X11" t="inlineStr"/>
      <c r="Y11" t="inlineStr">
        <is>
          <t>2026-11-15</t>
        </is>
      </c>
      <c r="Z11" s="11" t="inlineStr">
        <is>
          <t>Exams complete; keep timeline and result link current.</t>
        </is>
      </c>
    </row>
    <row r="12">
      <c r="A12" s="10" t="inlineStr">
        <is>
          <t>hsc-2026-result.html</t>
        </is>
      </c>
      <c r="B12" s="11" t="inlineStr">
        <is>
          <t>Article</t>
        </is>
      </c>
      <c r="C12" s="11" t="inlineStr">
        <is>
          <t>HSC</t>
        </is>
      </c>
      <c r="D12" s="11" t="inlineStr">
        <is>
          <t>https://boardexambd.com/hsc-2026-result</t>
        </is>
      </c>
      <c r="E12" s="11" t="inlineStr">
        <is>
          <t>HSC Result 2026 — Date &amp; How to Check | BoardExamBD</t>
        </is>
      </c>
      <c r="F12">
        <f>LEN(E12)</f>
        <v/>
      </c>
      <c r="G12" s="11" t="inlineStr">
        <is>
          <t>HSC and Alim result 2026 was published 31 October 2026 (pass rate 52.12%, 40,084 GPA-5). Check your marksheet online at eboardresults.com or by SMS with this simple guide.</t>
        </is>
      </c>
      <c r="H12">
        <f>LEN(G12)</f>
        <v/>
      </c>
      <c r="I12" s="11" t="inlineStr">
        <is>
          <t>HSC Result 2026 — Date &amp; How to Check Online/SMS</t>
        </is>
      </c>
      <c r="J12" t="n">
        <v>1</v>
      </c>
      <c r="K12" t="inlineStr">
        <is>
          <t>Pending</t>
        </is>
      </c>
      <c r="L12" t="inlineStr">
        <is>
          <t>index, follow</t>
        </is>
      </c>
      <c r="M12" t="inlineStr">
        <is>
          <t>Pending</t>
        </is>
      </c>
      <c r="N12" t="inlineStr">
        <is>
          <t>Pending</t>
        </is>
      </c>
      <c r="O12" s="11" t="inlineStr">
        <is>
          <t>Article + Organization + WebPage + BreadcrumbList + FAQPage</t>
        </is>
      </c>
      <c r="P12" t="inlineStr">
        <is>
          <t>Pending</t>
        </is>
      </c>
      <c r="Q12" t="inlineStr">
        <is>
          <t>Yes</t>
        </is>
      </c>
      <c r="R12" t="inlineStr">
        <is>
          <t>Pending</t>
        </is>
      </c>
      <c r="S12" t="inlineStr">
        <is>
          <t>Pending</t>
        </is>
      </c>
      <c r="T12" t="inlineStr">
        <is>
          <t>Pending</t>
        </is>
      </c>
      <c r="U12" t="inlineStr">
        <is>
          <t>Pending</t>
        </is>
      </c>
      <c r="V12" t="inlineStr">
        <is>
          <t>Pending deploy</t>
        </is>
      </c>
      <c r="W12" t="inlineStr">
        <is>
          <t>Not started</t>
        </is>
      </c>
      <c r="X12" t="inlineStr"/>
      <c r="Y12" t="inlineStr">
        <is>
          <t>2026-11-07</t>
        </is>
      </c>
      <c r="Z12" s="11" t="inlineStr">
        <is>
          <t>Result published 31 October 2026 (revised from 29 Oct); re-scrutiny window 1-7 Nov 2026.</t>
        </is>
      </c>
    </row>
    <row r="13">
      <c r="A13" s="10" t="inlineStr">
        <is>
          <t>hsc-form-fillup-2027.html</t>
        </is>
      </c>
      <c r="B13" s="11" t="inlineStr">
        <is>
          <t>Article</t>
        </is>
      </c>
      <c r="C13" s="11" t="inlineStr">
        <is>
          <t>HSC</t>
        </is>
      </c>
      <c r="D13" s="11" t="inlineStr">
        <is>
          <t>https://boardexambd.com/hsc-form-fillup-2027</t>
        </is>
      </c>
      <c r="E13" s="11" t="inlineStr">
        <is>
          <t>HSC Form Fill-up 2027 — Dates &amp; Process | BoardExamBD</t>
        </is>
      </c>
      <c r="F13">
        <f>LEN(E13)</f>
        <v/>
      </c>
      <c r="G13" s="11" t="inlineStr">
        <is>
          <t>HSC form fill-up 2027 is expected around February–March. See how the college-based process works, the 2026 fees and what to prepare.</t>
        </is>
      </c>
      <c r="H13">
        <f>LEN(G13)</f>
        <v/>
      </c>
      <c r="I13" s="11" t="inlineStr">
        <is>
          <t>HSC Form Fill-up 2027 — Expected Dates &amp; Process</t>
        </is>
      </c>
      <c r="J13" t="n">
        <v>1</v>
      </c>
      <c r="K13" t="inlineStr">
        <is>
          <t>Pending</t>
        </is>
      </c>
      <c r="L13" t="inlineStr">
        <is>
          <t>index, follow</t>
        </is>
      </c>
      <c r="M13" t="inlineStr">
        <is>
          <t>Pending</t>
        </is>
      </c>
      <c r="N13" t="inlineStr">
        <is>
          <t>Pending</t>
        </is>
      </c>
      <c r="O13" s="11" t="inlineStr">
        <is>
          <t>Article + Organization + WebPage + BreadcrumbList + FAQPage</t>
        </is>
      </c>
      <c r="P13" t="inlineStr">
        <is>
          <t>Pending</t>
        </is>
      </c>
      <c r="Q13" t="inlineStr">
        <is>
          <t>Yes</t>
        </is>
      </c>
      <c r="R13" t="inlineStr">
        <is>
          <t>Pending</t>
        </is>
      </c>
      <c r="S13" t="inlineStr">
        <is>
          <t>Pending</t>
        </is>
      </c>
      <c r="T13" t="inlineStr">
        <is>
          <t>Pending</t>
        </is>
      </c>
      <c r="U13" t="inlineStr">
        <is>
          <t>Pending</t>
        </is>
      </c>
      <c r="V13" t="inlineStr">
        <is>
          <t>Pending deploy</t>
        </is>
      </c>
      <c r="W13" t="inlineStr">
        <is>
          <t>Not started</t>
        </is>
      </c>
      <c r="X13" t="inlineStr"/>
      <c r="Y13" t="inlineStr">
        <is>
          <t>2026-12-15</t>
        </is>
      </c>
      <c r="Z13" s="11" t="inlineStr">
        <is>
          <t>Expected window; update when the 2027 circular is published.</t>
        </is>
      </c>
    </row>
    <row r="14">
      <c r="A14" s="10" t="inlineStr">
        <is>
          <t>hsc-practical-2026.html</t>
        </is>
      </c>
      <c r="B14" s="11" t="inlineStr">
        <is>
          <t>Article</t>
        </is>
      </c>
      <c r="C14" s="11" t="inlineStr">
        <is>
          <t>HSC</t>
        </is>
      </c>
      <c r="D14" s="11" t="inlineStr">
        <is>
          <t>https://boardexambd.com/hsc-practical-2026</t>
        </is>
      </c>
      <c r="E14" s="11" t="inlineStr">
        <is>
          <t>HSC Practical Exams 2026 — Rules &amp; Marks | BoardExamBD</t>
        </is>
      </c>
      <c r="F14">
        <f>LEN(E14)</f>
        <v/>
      </c>
      <c r="G14" s="11" t="inlineStr">
        <is>
          <t>HSC 2026 practical exams were held at students' own institutions and completed by 15 August. See the schedule rules, marks and what to carry.</t>
        </is>
      </c>
      <c r="H14">
        <f>LEN(G14)</f>
        <v/>
      </c>
      <c r="I14" s="11" t="inlineStr">
        <is>
          <t>HSC Practical Exams 2026 — Schedule, Rules &amp; Marks</t>
        </is>
      </c>
      <c r="J14" t="n">
        <v>1</v>
      </c>
      <c r="K14" t="inlineStr">
        <is>
          <t>Pending</t>
        </is>
      </c>
      <c r="L14" t="inlineStr">
        <is>
          <t>index, follow</t>
        </is>
      </c>
      <c r="M14" t="inlineStr">
        <is>
          <t>Pending</t>
        </is>
      </c>
      <c r="N14" t="inlineStr">
        <is>
          <t>Pending</t>
        </is>
      </c>
      <c r="O14" s="11" t="inlineStr">
        <is>
          <t>Article + Organization + WebPage + BreadcrumbList + FAQPage</t>
        </is>
      </c>
      <c r="P14" t="inlineStr">
        <is>
          <t>Pending</t>
        </is>
      </c>
      <c r="Q14" t="inlineStr">
        <is>
          <t>Yes</t>
        </is>
      </c>
      <c r="R14" t="inlineStr">
        <is>
          <t>Pending</t>
        </is>
      </c>
      <c r="S14" t="inlineStr">
        <is>
          <t>Pending</t>
        </is>
      </c>
      <c r="T14" t="inlineStr">
        <is>
          <t>Pending</t>
        </is>
      </c>
      <c r="U14" t="inlineStr">
        <is>
          <t>Pending</t>
        </is>
      </c>
      <c r="V14" t="inlineStr">
        <is>
          <t>Pending deploy</t>
        </is>
      </c>
      <c r="W14" t="inlineStr">
        <is>
          <t>Not started</t>
        </is>
      </c>
      <c r="X14" t="inlineStr"/>
      <c r="Y14" t="inlineStr">
        <is>
          <t>2026-11-15</t>
        </is>
      </c>
      <c r="Z14" s="11" t="inlineStr">
        <is>
          <t>2026 practical cycle complete; next update for 2027 batch.</t>
        </is>
      </c>
    </row>
    <row r="15">
      <c r="A15" s="10" t="inlineStr">
        <is>
          <t>buet-admission-2026-27.html</t>
        </is>
      </c>
      <c r="B15" s="11" t="inlineStr">
        <is>
          <t>Article</t>
        </is>
      </c>
      <c r="C15" s="11" t="inlineStr">
        <is>
          <t>Admission</t>
        </is>
      </c>
      <c r="D15" s="11" t="inlineStr">
        <is>
          <t>https://boardexambd.com/buet-admission-2026-27</t>
        </is>
      </c>
      <c r="E15" s="11" t="inlineStr">
        <is>
          <t>BUET Admission 2026-27 — Dates &amp; Process | BoardExamBD</t>
        </is>
      </c>
      <c r="F15">
        <f>LEN(E15)</f>
        <v/>
      </c>
      <c r="G15" s="11" t="inlineStr">
        <is>
          <t>BUET admission 2026-27 preliminary test is set for 16 January 2027. See application dates, eligibility, the two-phase test and official portal links.</t>
        </is>
      </c>
      <c r="H15">
        <f>LEN(G15)</f>
        <v/>
      </c>
      <c r="I15" s="11" t="inlineStr">
        <is>
          <t>BUET Admission 2026-27 — Application &amp; Exam Date</t>
        </is>
      </c>
      <c r="J15" t="n">
        <v>1</v>
      </c>
      <c r="K15" t="inlineStr">
        <is>
          <t>Pending</t>
        </is>
      </c>
      <c r="L15" t="inlineStr">
        <is>
          <t>index, follow</t>
        </is>
      </c>
      <c r="M15" t="inlineStr">
        <is>
          <t>Pending</t>
        </is>
      </c>
      <c r="N15" t="inlineStr">
        <is>
          <t>Pending</t>
        </is>
      </c>
      <c r="O15" s="11" t="inlineStr">
        <is>
          <t>Article + Organization + WebPage + BreadcrumbList + FAQPage</t>
        </is>
      </c>
      <c r="P15" t="inlineStr">
        <is>
          <t>Pending</t>
        </is>
      </c>
      <c r="Q15" t="inlineStr">
        <is>
          <t>Yes</t>
        </is>
      </c>
      <c r="R15" t="inlineStr">
        <is>
          <t>Pending</t>
        </is>
      </c>
      <c r="S15" t="inlineStr">
        <is>
          <t>Pending</t>
        </is>
      </c>
      <c r="T15" t="inlineStr">
        <is>
          <t>Pending</t>
        </is>
      </c>
      <c r="U15" t="inlineStr">
        <is>
          <t>Pending</t>
        </is>
      </c>
      <c r="V15" t="inlineStr">
        <is>
          <t>Pending deploy</t>
        </is>
      </c>
      <c r="W15" t="inlineStr">
        <is>
          <t>Not started</t>
        </is>
      </c>
      <c r="X15" t="inlineStr"/>
      <c r="Y15" t="inlineStr">
        <is>
          <t>2026-11-20</t>
        </is>
      </c>
      <c r="Z15" s="11" t="inlineStr">
        <is>
          <t>Preliminary test confirmed 16 Jan 2027; application window expected.</t>
        </is>
      </c>
    </row>
    <row r="16">
      <c r="A16" s="10" t="inlineStr">
        <is>
          <t>du-a-unit-admission-2026-27.html</t>
        </is>
      </c>
      <c r="B16" s="11" t="inlineStr">
        <is>
          <t>Article</t>
        </is>
      </c>
      <c r="C16" s="11" t="inlineStr">
        <is>
          <t>Admission</t>
        </is>
      </c>
      <c r="D16" s="11" t="inlineStr">
        <is>
          <t>https://boardexambd.com/du-a-unit-admission-2026-27</t>
        </is>
      </c>
      <c r="E16" s="11" t="inlineStr">
        <is>
          <t>DU A Unit Admission 2026-27 — Dates | BoardExamBD</t>
        </is>
      </c>
      <c r="F16">
        <f>LEN(E16)</f>
        <v/>
      </c>
      <c r="G16" s="11" t="inlineStr">
        <is>
          <t>DU A Unit admission 2026-27 applications run 11–25 November, with unit tests from 5–26 December. See eligibility, form fill-up and exam details.</t>
        </is>
      </c>
      <c r="H16">
        <f>LEN(G16)</f>
        <v/>
      </c>
      <c r="I16" s="11" t="inlineStr">
        <is>
          <t>DU A Unit Admission 2026-27 — Form Fill-up &amp; Exam Date</t>
        </is>
      </c>
      <c r="J16" t="n">
        <v>1</v>
      </c>
      <c r="K16" t="inlineStr">
        <is>
          <t>Pending</t>
        </is>
      </c>
      <c r="L16" t="inlineStr">
        <is>
          <t>index, follow</t>
        </is>
      </c>
      <c r="M16" t="inlineStr">
        <is>
          <t>Pending</t>
        </is>
      </c>
      <c r="N16" t="inlineStr">
        <is>
          <t>Pending</t>
        </is>
      </c>
      <c r="O16" s="11" t="inlineStr">
        <is>
          <t>Article + Organization + WebPage + BreadcrumbList + FAQPage</t>
        </is>
      </c>
      <c r="P16" t="inlineStr">
        <is>
          <t>Pending</t>
        </is>
      </c>
      <c r="Q16" t="inlineStr">
        <is>
          <t>Yes</t>
        </is>
      </c>
      <c r="R16" t="inlineStr">
        <is>
          <t>Pending</t>
        </is>
      </c>
      <c r="S16" t="inlineStr">
        <is>
          <t>Pending</t>
        </is>
      </c>
      <c r="T16" t="inlineStr">
        <is>
          <t>Pending</t>
        </is>
      </c>
      <c r="U16" t="inlineStr">
        <is>
          <t>Pending</t>
        </is>
      </c>
      <c r="V16" t="inlineStr">
        <is>
          <t>Pending deploy</t>
        </is>
      </c>
      <c r="W16" t="inlineStr">
        <is>
          <t>Not started</t>
        </is>
      </c>
      <c r="X16" t="inlineStr"/>
      <c r="Y16" t="inlineStr">
        <is>
          <t>2026-11-26</t>
        </is>
      </c>
      <c r="Z16" s="11" t="inlineStr">
        <is>
          <t>Application window 11–25 Nov 2026; tests 5–26 Dec 2026.</t>
        </is>
      </c>
    </row>
    <row r="17">
      <c r="A17" s="10" t="inlineStr">
        <is>
          <t>gst-a-unit-admission-2026-27.html</t>
        </is>
      </c>
      <c r="B17" s="11" t="inlineStr">
        <is>
          <t>Article</t>
        </is>
      </c>
      <c r="C17" s="11" t="inlineStr">
        <is>
          <t>Admission</t>
        </is>
      </c>
      <c r="D17" s="11" t="inlineStr">
        <is>
          <t>https://boardexambd.com/gst-a-unit-admission-2026-27</t>
        </is>
      </c>
      <c r="E17" s="11" t="inlineStr">
        <is>
          <t>GST Admission 2026-27 — A Unit Dates | BoardExamBD</t>
        </is>
      </c>
      <c r="F17">
        <f>LEN(E17)</f>
        <v/>
      </c>
      <c r="G17" s="11" t="inlineStr">
        <is>
          <t>GST university cluster admission 2026-27 A Unit form fill-up, one-hour MCQ pattern, eligibility and the latest circular updates from gstadmission.ac.bd.</t>
        </is>
      </c>
      <c r="H17">
        <f>LEN(G17)</f>
        <v/>
      </c>
      <c r="I17" s="11" t="inlineStr">
        <is>
          <t>GST Admission 2026-27 — A Unit Form Fill-up &amp; Exam Date</t>
        </is>
      </c>
      <c r="J17" t="n">
        <v>1</v>
      </c>
      <c r="K17" t="inlineStr">
        <is>
          <t>Pending</t>
        </is>
      </c>
      <c r="L17" t="inlineStr">
        <is>
          <t>index, follow</t>
        </is>
      </c>
      <c r="M17" t="inlineStr">
        <is>
          <t>Pending</t>
        </is>
      </c>
      <c r="N17" t="inlineStr">
        <is>
          <t>Pending</t>
        </is>
      </c>
      <c r="O17" s="11" t="inlineStr">
        <is>
          <t>Article + Organization + WebPage + BreadcrumbList + FAQPage</t>
        </is>
      </c>
      <c r="P17" t="inlineStr">
        <is>
          <t>Pending</t>
        </is>
      </c>
      <c r="Q17" t="inlineStr">
        <is>
          <t>Yes</t>
        </is>
      </c>
      <c r="R17" t="inlineStr">
        <is>
          <t>Pending</t>
        </is>
      </c>
      <c r="S17" t="inlineStr">
        <is>
          <t>Pending</t>
        </is>
      </c>
      <c r="T17" t="inlineStr">
        <is>
          <t>Pending</t>
        </is>
      </c>
      <c r="U17" t="inlineStr">
        <is>
          <t>Pending</t>
        </is>
      </c>
      <c r="V17" t="inlineStr">
        <is>
          <t>Pending deploy</t>
        </is>
      </c>
      <c r="W17" t="inlineStr">
        <is>
          <t>Not started</t>
        </is>
      </c>
      <c r="X17" t="inlineStr"/>
      <c r="Y17" t="inlineStr">
        <is>
          <t>2026-11-15</t>
        </is>
      </c>
      <c r="Z17" s="11" t="inlineStr">
        <is>
          <t>Circular not published as of 23 Oct 2026; update when released.</t>
        </is>
      </c>
    </row>
    <row r="18">
      <c r="A18" s="10" t="inlineStr">
        <is>
          <t>ku-admission-2026-27.html</t>
        </is>
      </c>
      <c r="B18" s="11" t="inlineStr">
        <is>
          <t>Article</t>
        </is>
      </c>
      <c r="C18" s="11" t="inlineStr">
        <is>
          <t>Admission</t>
        </is>
      </c>
      <c r="D18" s="11" t="inlineStr">
        <is>
          <t>https://boardexambd.com/ku-admission-2026-27</t>
        </is>
      </c>
      <c r="E18" s="11" t="inlineStr">
        <is>
          <t>KU Admission 2026-27 — Application &amp; Test | BoardExamBD</t>
        </is>
      </c>
      <c r="F18">
        <f>LEN(E18)</f>
        <v/>
      </c>
      <c r="G18" s="11" t="inlineStr">
        <is>
          <t>Khulna University admission 2026-27 applications closed on 30 September. See the test schedule, eligibility and next steps on ku.ac.bd.</t>
        </is>
      </c>
      <c r="H18">
        <f>LEN(G18)</f>
        <v/>
      </c>
      <c r="I18" s="11" t="inlineStr">
        <is>
          <t>KU Admission 2026-27 — Application &amp; Exam Date</t>
        </is>
      </c>
      <c r="J18" t="n">
        <v>1</v>
      </c>
      <c r="K18" t="inlineStr">
        <is>
          <t>Pending</t>
        </is>
      </c>
      <c r="L18" t="inlineStr">
        <is>
          <t>index, follow</t>
        </is>
      </c>
      <c r="M18" t="inlineStr">
        <is>
          <t>Pending</t>
        </is>
      </c>
      <c r="N18" t="inlineStr">
        <is>
          <t>Pending</t>
        </is>
      </c>
      <c r="O18" s="11" t="inlineStr">
        <is>
          <t>Article + Organization + WebPage + BreadcrumbList + FAQPage</t>
        </is>
      </c>
      <c r="P18" t="inlineStr">
        <is>
          <t>Pending</t>
        </is>
      </c>
      <c r="Q18" t="inlineStr">
        <is>
          <t>Yes</t>
        </is>
      </c>
      <c r="R18" t="inlineStr">
        <is>
          <t>Pending</t>
        </is>
      </c>
      <c r="S18" t="inlineStr">
        <is>
          <t>Pending</t>
        </is>
      </c>
      <c r="T18" t="inlineStr">
        <is>
          <t>Pending</t>
        </is>
      </c>
      <c r="U18" t="inlineStr">
        <is>
          <t>Pending</t>
        </is>
      </c>
      <c r="V18" t="inlineStr">
        <is>
          <t>Pending deploy</t>
        </is>
      </c>
      <c r="W18" t="inlineStr">
        <is>
          <t>Not started</t>
        </is>
      </c>
      <c r="X18" t="inlineStr"/>
      <c r="Y18" t="inlineStr">
        <is>
          <t>2026-11-15</t>
        </is>
      </c>
      <c r="Z18" s="11" t="inlineStr">
        <is>
          <t>Application closed 30 Sep 2026; test schedule pending on ku.ac.bd.</t>
        </is>
      </c>
    </row>
    <row r="19">
      <c r="A19" s="10" t="inlineStr">
        <is>
          <t>medical-admission-2026-27.html</t>
        </is>
      </c>
      <c r="B19" s="11" t="inlineStr">
        <is>
          <t>Article</t>
        </is>
      </c>
      <c r="C19" s="11" t="inlineStr">
        <is>
          <t>Admission</t>
        </is>
      </c>
      <c r="D19" s="11" t="inlineStr">
        <is>
          <t>https://boardexambd.com/medical-admission-2026-27</t>
        </is>
      </c>
      <c r="E19" s="11" t="inlineStr">
        <is>
          <t>Medical Admission 2026-27 — Dates &amp; Process | BoardExamBD</t>
        </is>
      </c>
      <c r="F19">
        <f>LEN(E19)</f>
        <v/>
      </c>
      <c r="G19" s="11" t="inlineStr">
        <is>
          <t>MBBS and BDS medical admission 2026-27: DGME form fill-up, tentative test date 4 December, eligibility and the one-hour MCQ exam format.</t>
        </is>
      </c>
      <c r="H19">
        <f>LEN(G19)</f>
        <v/>
      </c>
      <c r="I19" s="11" t="inlineStr">
        <is>
          <t>Medical (MBBS/BDS) Admission 2026-27 — Form Fill-up &amp; Exam Date</t>
        </is>
      </c>
      <c r="J19" t="n">
        <v>1</v>
      </c>
      <c r="K19" t="inlineStr">
        <is>
          <t>Pending</t>
        </is>
      </c>
      <c r="L19" t="inlineStr">
        <is>
          <t>index, follow</t>
        </is>
      </c>
      <c r="M19" t="inlineStr">
        <is>
          <t>Pending</t>
        </is>
      </c>
      <c r="N19" t="inlineStr">
        <is>
          <t>Pending</t>
        </is>
      </c>
      <c r="O19" s="11" t="inlineStr">
        <is>
          <t>Article + Organization + WebPage + BreadcrumbList + FAQPage</t>
        </is>
      </c>
      <c r="P19" t="inlineStr">
        <is>
          <t>Pending</t>
        </is>
      </c>
      <c r="Q19" t="inlineStr">
        <is>
          <t>Yes</t>
        </is>
      </c>
      <c r="R19" t="inlineStr">
        <is>
          <t>Pending</t>
        </is>
      </c>
      <c r="S19" t="inlineStr">
        <is>
          <t>Pending</t>
        </is>
      </c>
      <c r="T19" t="inlineStr">
        <is>
          <t>Pending</t>
        </is>
      </c>
      <c r="U19" t="inlineStr">
        <is>
          <t>Pending</t>
        </is>
      </c>
      <c r="V19" t="inlineStr">
        <is>
          <t>Pending deploy</t>
        </is>
      </c>
      <c r="W19" t="inlineStr">
        <is>
          <t>Not started</t>
        </is>
      </c>
      <c r="X19" t="inlineStr"/>
      <c r="Y19" t="inlineStr">
        <is>
          <t>2026-11-15</t>
        </is>
      </c>
      <c r="Z19" s="11" t="inlineStr">
        <is>
          <t>Test tentative 4 Dec 2026; depends on HSC result published 31 Oct 2026.</t>
        </is>
      </c>
    </row>
    <row r="20">
      <c r="A20" s="10" t="inlineStr">
        <is>
          <t>ru-admission-2026-27.html</t>
        </is>
      </c>
      <c r="B20" s="11" t="inlineStr">
        <is>
          <t>Article</t>
        </is>
      </c>
      <c r="C20" s="11" t="inlineStr">
        <is>
          <t>Admission</t>
        </is>
      </c>
      <c r="D20" s="11" t="inlineStr">
        <is>
          <t>https://boardexambd.com/ru-admission-2026-27</t>
        </is>
      </c>
      <c r="E20" s="11" t="inlineStr">
        <is>
          <t>RU Admission 2026-27 — Application &amp; Tests | BoardExamBD</t>
        </is>
      </c>
      <c r="F20">
        <f>LEN(E20)</f>
        <v/>
      </c>
      <c r="G20" s="11" t="inlineStr">
        <is>
          <t>Rajshahi University admission 2026-27 applications open 12 November, with B, C and A unit tests in January 2027. See dates and eligibility.</t>
        </is>
      </c>
      <c r="H20">
        <f>LEN(G20)</f>
        <v/>
      </c>
      <c r="I20" s="11" t="inlineStr">
        <is>
          <t>Rajshahi University (RU) Admission 2026-27 — Dates &amp; Process</t>
        </is>
      </c>
      <c r="J20" t="n">
        <v>1</v>
      </c>
      <c r="K20" t="inlineStr">
        <is>
          <t>Pending</t>
        </is>
      </c>
      <c r="L20" t="inlineStr">
        <is>
          <t>index, follow</t>
        </is>
      </c>
      <c r="M20" t="inlineStr">
        <is>
          <t>Pending</t>
        </is>
      </c>
      <c r="N20" t="inlineStr">
        <is>
          <t>Pending</t>
        </is>
      </c>
      <c r="O20" s="11" t="inlineStr">
        <is>
          <t>Article + Organization + WebPage + BreadcrumbList + FAQPage</t>
        </is>
      </c>
      <c r="P20" t="inlineStr">
        <is>
          <t>Pending</t>
        </is>
      </c>
      <c r="Q20" t="inlineStr">
        <is>
          <t>Yes</t>
        </is>
      </c>
      <c r="R20" t="inlineStr">
        <is>
          <t>Pending</t>
        </is>
      </c>
      <c r="S20" t="inlineStr">
        <is>
          <t>Pending</t>
        </is>
      </c>
      <c r="T20" t="inlineStr">
        <is>
          <t>Pending</t>
        </is>
      </c>
      <c r="U20" t="inlineStr">
        <is>
          <t>Pending</t>
        </is>
      </c>
      <c r="V20" t="inlineStr">
        <is>
          <t>Pending deploy</t>
        </is>
      </c>
      <c r="W20" t="inlineStr">
        <is>
          <t>Not started</t>
        </is>
      </c>
      <c r="X20" t="inlineStr"/>
      <c r="Y20" t="inlineStr">
        <is>
          <t>2026-11-13</t>
        </is>
      </c>
      <c r="Z20" s="11" t="inlineStr">
        <is>
          <t>Applications open 12 Nov 2026; tests 8, 9 and 16 Jan 2027.</t>
        </is>
      </c>
    </row>
    <row r="21">
      <c r="A21" s="10" t="inlineStr">
        <is>
          <t>ruet-admission-2026-27.html</t>
        </is>
      </c>
      <c r="B21" s="11" t="inlineStr">
        <is>
          <t>Article</t>
        </is>
      </c>
      <c r="C21" s="11" t="inlineStr">
        <is>
          <t>Admission</t>
        </is>
      </c>
      <c r="D21" s="11" t="inlineStr">
        <is>
          <t>https://boardexambd.com/ruet-admission-2026-27</t>
        </is>
      </c>
      <c r="E21" s="11" t="inlineStr">
        <is>
          <t>RUET Admission 2026-27 — Dates &amp; Process | BoardExamBD</t>
        </is>
      </c>
      <c r="F21">
        <f>LEN(E21)</f>
        <v/>
      </c>
      <c r="G21" s="11" t="inlineStr">
        <is>
          <t>RUET admission 2026-27 circular is expected in late November. See the application portal, eligibility, last cycle dates and what to prepare.</t>
        </is>
      </c>
      <c r="H21">
        <f>LEN(G21)</f>
        <v/>
      </c>
      <c r="I21" s="11" t="inlineStr">
        <is>
          <t>RUET Admission 2026-27 — Application &amp; Exam Date</t>
        </is>
      </c>
      <c r="J21" t="n">
        <v>1</v>
      </c>
      <c r="K21" t="inlineStr">
        <is>
          <t>Pending</t>
        </is>
      </c>
      <c r="L21" t="inlineStr">
        <is>
          <t>index, follow</t>
        </is>
      </c>
      <c r="M21" t="inlineStr">
        <is>
          <t>Pending</t>
        </is>
      </c>
      <c r="N21" t="inlineStr">
        <is>
          <t>Pending</t>
        </is>
      </c>
      <c r="O21" s="11" t="inlineStr">
        <is>
          <t>Article + Organization + WebPage + BreadcrumbList + FAQPage</t>
        </is>
      </c>
      <c r="P21" t="inlineStr">
        <is>
          <t>Pending</t>
        </is>
      </c>
      <c r="Q21" t="inlineStr">
        <is>
          <t>Yes</t>
        </is>
      </c>
      <c r="R21" t="inlineStr">
        <is>
          <t>Pending</t>
        </is>
      </c>
      <c r="S21" t="inlineStr">
        <is>
          <t>Pending</t>
        </is>
      </c>
      <c r="T21" t="inlineStr">
        <is>
          <t>Pending</t>
        </is>
      </c>
      <c r="U21" t="inlineStr">
        <is>
          <t>Pending</t>
        </is>
      </c>
      <c r="V21" t="inlineStr">
        <is>
          <t>Pending deploy</t>
        </is>
      </c>
      <c r="W21" t="inlineStr">
        <is>
          <t>Not started</t>
        </is>
      </c>
      <c r="X21" t="inlineStr"/>
      <c r="Y21" t="inlineStr">
        <is>
          <t>2026-12-01</t>
        </is>
      </c>
      <c r="Z21" s="11" t="inlineStr">
        <is>
          <t>Circular expected late Nov 2026; test expected Jan 2027.</t>
        </is>
      </c>
    </row>
    <row r="22">
      <c r="A22" s="10" t="inlineStr">
        <is>
          <t>sust-admission-2026-27.html</t>
        </is>
      </c>
      <c r="B22" s="11" t="inlineStr">
        <is>
          <t>Article</t>
        </is>
      </c>
      <c r="C22" s="11" t="inlineStr">
        <is>
          <t>Admission</t>
        </is>
      </c>
      <c r="D22" s="11" t="inlineStr">
        <is>
          <t>https://boardexambd.com/sust-admission-2026-27</t>
        </is>
      </c>
      <c r="E22" s="11" t="inlineStr">
        <is>
          <t>SUST Admission 2026-27 — Dates &amp; Process | BoardExamBD</t>
        </is>
      </c>
      <c r="F22">
        <f>LEN(E22)</f>
        <v/>
      </c>
      <c r="G22" s="11" t="inlineStr">
        <is>
          <t>SUST admission 2026-27 A and B unit tests, application window on admission.sust.edu.bd, eligibility and the latest circular updates.</t>
        </is>
      </c>
      <c r="H22">
        <f>LEN(G22)</f>
        <v/>
      </c>
      <c r="I22" s="11" t="inlineStr">
        <is>
          <t>SUST Admission 2026-27 — Application &amp; Exam Date</t>
        </is>
      </c>
      <c r="J22" t="n">
        <v>1</v>
      </c>
      <c r="K22" t="inlineStr">
        <is>
          <t>Pending</t>
        </is>
      </c>
      <c r="L22" t="inlineStr">
        <is>
          <t>index, follow</t>
        </is>
      </c>
      <c r="M22" t="inlineStr">
        <is>
          <t>Pending</t>
        </is>
      </c>
      <c r="N22" t="inlineStr">
        <is>
          <t>Pending</t>
        </is>
      </c>
      <c r="O22" s="11" t="inlineStr">
        <is>
          <t>Article + Organization + WebPage + BreadcrumbList + FAQPage</t>
        </is>
      </c>
      <c r="P22" t="inlineStr">
        <is>
          <t>Pending</t>
        </is>
      </c>
      <c r="Q22" t="inlineStr">
        <is>
          <t>Yes</t>
        </is>
      </c>
      <c r="R22" t="inlineStr">
        <is>
          <t>Pending</t>
        </is>
      </c>
      <c r="S22" t="inlineStr">
        <is>
          <t>Pending</t>
        </is>
      </c>
      <c r="T22" t="inlineStr">
        <is>
          <t>Pending</t>
        </is>
      </c>
      <c r="U22" t="inlineStr">
        <is>
          <t>Pending</t>
        </is>
      </c>
      <c r="V22" t="inlineStr">
        <is>
          <t>Pending deploy</t>
        </is>
      </c>
      <c r="W22" t="inlineStr">
        <is>
          <t>Not started</t>
        </is>
      </c>
      <c r="X22" t="inlineStr"/>
      <c r="Y22" t="inlineStr">
        <is>
          <t>2026-11-15</t>
        </is>
      </c>
      <c r="Z22" s="11" t="inlineStr">
        <is>
          <t>Circular expected late Oct–Nov 2026; test expected Dec 2026.</t>
        </is>
      </c>
    </row>
    <row r="23">
      <c r="A23" s="10" t="inlineStr">
        <is>
          <t>404.html</t>
        </is>
      </c>
      <c r="B23" s="11" t="inlineStr">
        <is>
          <t>Utility</t>
        </is>
      </c>
      <c r="C23" s="11" t="inlineStr">
        <is>
          <t>Utility</t>
        </is>
      </c>
      <c r="D23" s="11" t="inlineStr">
        <is>
          <t>https://boardexambd.com/404</t>
        </is>
      </c>
      <c r="E23" s="11" t="inlineStr">
        <is>
          <t>Page Not Found | BoardExamBD</t>
        </is>
      </c>
      <c r="F23">
        <f>LEN(E23)</f>
        <v/>
      </c>
      <c r="G23" s="11" t="inlineStr">
        <is>
          <t>The page you requested could not be found. Browse SSC, HSC and university admission guides on BoardExamBD.</t>
        </is>
      </c>
      <c r="H23">
        <f>LEN(G23)</f>
        <v/>
      </c>
      <c r="I23" s="11" t="inlineStr">
        <is>
          <t>Page not found</t>
        </is>
      </c>
      <c r="J23" t="n">
        <v>1</v>
      </c>
      <c r="K23" t="inlineStr">
        <is>
          <t>Pending</t>
        </is>
      </c>
      <c r="L23" t="inlineStr">
        <is>
          <t>noindex, follow</t>
        </is>
      </c>
      <c r="M23" t="inlineStr">
        <is>
          <t>Pending</t>
        </is>
      </c>
      <c r="N23" t="inlineStr">
        <is>
          <t>Pending</t>
        </is>
      </c>
      <c r="O23" s="11" t="inlineStr">
        <is>
          <t>WebPage</t>
        </is>
      </c>
      <c r="P23" t="inlineStr">
        <is>
          <t>N/A</t>
        </is>
      </c>
      <c r="Q23" t="inlineStr">
        <is>
          <t>N/A</t>
        </is>
      </c>
      <c r="R23" t="inlineStr">
        <is>
          <t>Pending</t>
        </is>
      </c>
      <c r="S23" t="inlineStr">
        <is>
          <t>Excluded</t>
        </is>
      </c>
      <c r="T23" t="inlineStr">
        <is>
          <t>N/A</t>
        </is>
      </c>
      <c r="U23" t="inlineStr">
        <is>
          <t>Pending</t>
        </is>
      </c>
      <c r="V23" t="inlineStr">
        <is>
          <t>Pending deploy</t>
        </is>
      </c>
      <c r="W23" t="inlineStr">
        <is>
          <t>Not started</t>
        </is>
      </c>
      <c r="X23" t="inlineStr"/>
      <c r="Y23" t="inlineStr"/>
      <c r="Z23" s="11" t="inlineStr">
        <is>
          <t>noindex utility page.</t>
        </is>
      </c>
    </row>
  </sheetData>
  <autoFilter ref="A1:Z23"/>
  <conditionalFormatting sqref="W2:W23">
    <cfRule type="cellIs" priority="1" operator="equal" dxfId="0">
      <formula>"Done"</formula>
    </cfRule>
    <cfRule type="cellIs" priority="2" operator="equal" dxfId="1">
      <formula>"In progress"</formula>
    </cfRule>
    <cfRule type="cellIs" priority="3" operator="equal" dxfId="2">
      <formula>"Not started"</formula>
    </cfRule>
    <cfRule type="cellIs" priority="4" operator="equal" dxfId="3">
      <formula>"Blocked"</formula>
    </cfRule>
  </conditionalFormatting>
  <conditionalFormatting sqref="K2:K23">
    <cfRule type="cellIs" priority="5" operator="equal" dxfId="4">
      <formula>"Pending"</formula>
    </cfRule>
    <cfRule type="cellIs" priority="6" operator="equal" dxfId="5">
      <formula>"Yes"</formula>
    </cfRule>
    <cfRule type="cellIs" priority="7" operator="equal" dxfId="5">
      <formula>"Pass"</formula>
    </cfRule>
  </conditionalFormatting>
  <conditionalFormatting sqref="L2:L23">
    <cfRule type="cellIs" priority="8" operator="equal" dxfId="4">
      <formula>"Pending"</formula>
    </cfRule>
    <cfRule type="cellIs" priority="9" operator="equal" dxfId="5">
      <formula>"Yes"</formula>
    </cfRule>
    <cfRule type="cellIs" priority="10" operator="equal" dxfId="5">
      <formula>"Pass"</formula>
    </cfRule>
  </conditionalFormatting>
  <conditionalFormatting sqref="M2:M23">
    <cfRule type="cellIs" priority="11" operator="equal" dxfId="4">
      <formula>"Pending"</formula>
    </cfRule>
    <cfRule type="cellIs" priority="12" operator="equal" dxfId="5">
      <formula>"Yes"</formula>
    </cfRule>
    <cfRule type="cellIs" priority="13" operator="equal" dxfId="5">
      <formula>"Pass"</formula>
    </cfRule>
  </conditionalFormatting>
  <conditionalFormatting sqref="N2:N23">
    <cfRule type="cellIs" priority="14" operator="equal" dxfId="4">
      <formula>"Pending"</formula>
    </cfRule>
    <cfRule type="cellIs" priority="15" operator="equal" dxfId="5">
      <formula>"Yes"</formula>
    </cfRule>
    <cfRule type="cellIs" priority="16" operator="equal" dxfId="5">
      <formula>"Pass"</formula>
    </cfRule>
  </conditionalFormatting>
  <conditionalFormatting sqref="O2:O23">
    <cfRule type="cellIs" priority="17" operator="equal" dxfId="4">
      <formula>"Pending"</formula>
    </cfRule>
    <cfRule type="cellIs" priority="18" operator="equal" dxfId="5">
      <formula>"Yes"</formula>
    </cfRule>
    <cfRule type="cellIs" priority="19" operator="equal" dxfId="5">
      <formula>"Pass"</formula>
    </cfRule>
  </conditionalFormatting>
  <conditionalFormatting sqref="P2:P23">
    <cfRule type="cellIs" priority="20" operator="equal" dxfId="4">
      <formula>"Pending"</formula>
    </cfRule>
    <cfRule type="cellIs" priority="21" operator="equal" dxfId="5">
      <formula>"Yes"</formula>
    </cfRule>
    <cfRule type="cellIs" priority="22" operator="equal" dxfId="5">
      <formula>"Pass"</formula>
    </cfRule>
  </conditionalFormatting>
  <conditionalFormatting sqref="Q2:Q23">
    <cfRule type="cellIs" priority="23" operator="equal" dxfId="4">
      <formula>"Pending"</formula>
    </cfRule>
    <cfRule type="cellIs" priority="24" operator="equal" dxfId="5">
      <formula>"Yes"</formula>
    </cfRule>
    <cfRule type="cellIs" priority="25" operator="equal" dxfId="5">
      <formula>"Pass"</formula>
    </cfRule>
  </conditionalFormatting>
  <conditionalFormatting sqref="R2:R23">
    <cfRule type="cellIs" priority="26" operator="equal" dxfId="4">
      <formula>"Pending"</formula>
    </cfRule>
    <cfRule type="cellIs" priority="27" operator="equal" dxfId="5">
      <formula>"Yes"</formula>
    </cfRule>
    <cfRule type="cellIs" priority="28" operator="equal" dxfId="5">
      <formula>"Pass"</formula>
    </cfRule>
  </conditionalFormatting>
  <conditionalFormatting sqref="S2:S23">
    <cfRule type="cellIs" priority="29" operator="equal" dxfId="4">
      <formula>"Pending"</formula>
    </cfRule>
    <cfRule type="cellIs" priority="30" operator="equal" dxfId="5">
      <formula>"Yes"</formula>
    </cfRule>
    <cfRule type="cellIs" priority="31" operator="equal" dxfId="5">
      <formula>"Pass"</formula>
    </cfRule>
  </conditionalFormatting>
  <conditionalFormatting sqref="T2:T23">
    <cfRule type="cellIs" priority="32" operator="equal" dxfId="4">
      <formula>"Pending"</formula>
    </cfRule>
    <cfRule type="cellIs" priority="33" operator="equal" dxfId="5">
      <formula>"Yes"</formula>
    </cfRule>
    <cfRule type="cellIs" priority="34" operator="equal" dxfId="5">
      <formula>"Pass"</formula>
    </cfRule>
  </conditionalFormatting>
  <conditionalFormatting sqref="U2:U23">
    <cfRule type="cellIs" priority="35" operator="equal" dxfId="4">
      <formula>"Pending"</formula>
    </cfRule>
    <cfRule type="cellIs" priority="36" operator="equal" dxfId="5">
      <formula>"Yes"</formula>
    </cfRule>
    <cfRule type="cellIs" priority="37" operator="equal" dxfId="5">
      <formula>"Pass"</formula>
    </cfRule>
  </conditionalFormatting>
  <dataValidations count="1">
    <dataValidation sqref="W2:W23" showDropDown="0" showInputMessage="0" showErrorMessage="0" allowBlank="0" errorTitle="Invalid status" error="Choose a valid status." promptTitle="Status" prompt="Select the current status for this page." type="list">
      <formula1>"Not started,In progress,Done,Blocked"</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s>
  <pageMargins left="0.75" right="0.75" top="1" bottom="1" header="0.5" footer="0.5"/>
</worksheet>
</file>

<file path=xl/worksheets/sheet3.xml><?xml version="1.0" encoding="utf-8"?>
<worksheet xmlns="http://schemas.openxmlformats.org/spreadsheetml/2006/main">
  <sheetPr>
    <tabColor rgb="00F59E0B"/>
    <outlinePr summaryBelow="1" summaryRight="1"/>
    <pageSetUpPr/>
  </sheetPr>
  <dimension ref="A1:Z9"/>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58" customWidth="1" min="3" max="3"/>
    <col width="12" customWidth="1" min="4" max="4"/>
    <col width="14" customWidth="1" min="5" max="5"/>
    <col width="58" customWidth="1" min="6" max="6"/>
    <col width="14" customWidth="1" min="7" max="7"/>
  </cols>
  <sheetData>
    <row r="1" ht="32" customHeight="1">
      <c r="A1" s="9" t="inlineStr">
        <is>
          <t>ID</t>
        </is>
      </c>
      <c r="B1" s="9" t="inlineStr">
        <is>
          <t>Page</t>
        </is>
      </c>
      <c r="C1" s="9" t="inlineStr">
        <is>
          <t>Issue</t>
        </is>
      </c>
      <c r="D1" s="9" t="inlineStr">
        <is>
          <t>Severity</t>
        </is>
      </c>
      <c r="E1" s="9" t="inlineStr">
        <is>
          <t>Status</t>
        </is>
      </c>
      <c r="F1" s="9" t="inlineStr">
        <is>
          <t>Fix / next action</t>
        </is>
      </c>
      <c r="G1" s="9" t="inlineStr">
        <is>
          <t>Date logged</t>
        </is>
      </c>
      <c r="H1" s="9" t="n"/>
      <c r="I1" s="9" t="n"/>
      <c r="J1" s="9" t="n"/>
      <c r="K1" s="9" t="n"/>
      <c r="L1" s="9" t="n"/>
      <c r="M1" s="9" t="n"/>
      <c r="N1" s="9" t="n"/>
      <c r="O1" s="9" t="n"/>
      <c r="P1" s="9" t="n"/>
      <c r="Q1" s="9" t="n"/>
      <c r="R1" s="9" t="n"/>
      <c r="S1" s="9" t="n"/>
      <c r="T1" s="9" t="n"/>
      <c r="U1" s="9" t="n"/>
      <c r="V1" s="9" t="n"/>
      <c r="W1" s="9" t="n"/>
      <c r="X1" s="9" t="n"/>
      <c r="Y1" s="9" t="n"/>
      <c r="Z1" s="9" t="n"/>
    </row>
    <row r="2">
      <c r="A2" s="11" t="inlineStr">
        <is>
          <t>1</t>
        </is>
      </c>
      <c r="B2" s="11" t="inlineStr">
        <is>
          <t>Site-wide</t>
        </is>
      </c>
      <c r="C2" s="11" t="inlineStr">
        <is>
          <t>Canonical domain boardexambd.com does not resolve yet.</t>
        </is>
      </c>
      <c r="D2" s="11" t="inlineStr">
        <is>
          <t>High</t>
        </is>
      </c>
      <c r="E2" s="11" t="inlineStr">
        <is>
          <t>Open</t>
        </is>
      </c>
      <c r="F2" s="11" t="inlineStr">
        <is>
          <t>Point DNS/hosting at the production domain before launch; canonicals and sitemap already use it.</t>
        </is>
      </c>
      <c r="G2" s="11" t="inlineStr">
        <is>
          <t>2026-10-26</t>
        </is>
      </c>
    </row>
    <row r="3">
      <c r="A3" s="11" t="inlineStr">
        <is>
          <t>2</t>
        </is>
      </c>
      <c r="B3" s="11" t="inlineStr">
        <is>
          <t>Site-wide</t>
        </is>
      </c>
      <c r="C3" s="11" t="inlineStr">
        <is>
          <t>No GA4 property, Search Console, Bing or Pinterest verification IDs supplied.</t>
        </is>
      </c>
      <c r="D3" s="11" t="inlineStr">
        <is>
          <t>Medium</t>
        </is>
      </c>
      <c r="E3" s="11" t="inlineStr">
        <is>
          <t>Open</t>
        </is>
      </c>
      <c r="F3" s="11" t="inlineStr">
        <is>
          <t>Add real IDs to the Config sheet and the head comment block before launch.</t>
        </is>
      </c>
      <c r="G3" s="11" t="inlineStr">
        <is>
          <t>2026-10-26</t>
        </is>
      </c>
    </row>
    <row r="4">
      <c r="A4" s="11" t="inlineStr">
        <is>
          <t>3</t>
        </is>
      </c>
      <c r="B4" s="11" t="inlineStr">
        <is>
          <t>Site-wide</t>
        </is>
      </c>
      <c r="C4" s="11" t="inlineStr">
        <is>
          <t>Per-page OG images not designed yet; one supplied banner is used for all pages.</t>
        </is>
      </c>
      <c r="D4" s="11" t="inlineStr">
        <is>
          <t>Low</t>
        </is>
      </c>
      <c r="E4" s="11" t="inlineStr">
        <is>
          <t>Open</t>
        </is>
      </c>
      <c r="F4" s="11" t="inlineStr">
        <is>
          <t>Replace the shared og-default.jpg with per-page images when available.</t>
        </is>
      </c>
      <c r="G4" s="11" t="inlineStr">
        <is>
          <t>2026-10-26</t>
        </is>
      </c>
    </row>
    <row r="5">
      <c r="A5" s="11" t="inlineStr">
        <is>
          <t>4</t>
        </is>
      </c>
      <c r="B5" s="11" t="inlineStr">
        <is>
          <t>Site-wide</t>
        </is>
      </c>
      <c r="C5" s="11" t="inlineStr">
        <is>
          <t>Live validation cannot run until the site is deployed.</t>
        </is>
      </c>
      <c r="D5" s="11" t="inlineStr">
        <is>
          <t>Medium</t>
        </is>
      </c>
      <c r="E5" s="11" t="inlineStr">
        <is>
          <t>Open</t>
        </is>
      </c>
      <c r="F5" s="11" t="inlineStr">
        <is>
          <t>Run Rich Results Test, Schema Markup Validator, Lighthouse and social previews after deploy.</t>
        </is>
      </c>
      <c r="G5" s="11" t="inlineStr">
        <is>
          <t>2026-10-26</t>
        </is>
      </c>
    </row>
    <row r="6">
      <c r="A6" s="11" t="inlineStr">
        <is>
          <t>5</t>
        </is>
      </c>
      <c r="B6" s="11" t="inlineStr">
        <is>
          <t>hsc-2026-result.html</t>
        </is>
      </c>
      <c r="C6" s="11" t="inlineStr">
        <is>
          <t>HSC result was published on 31 October 2026 (revised from 29 Oct); page updated with pass rate, GPA-5 and SMS number.</t>
        </is>
      </c>
      <c r="D6" s="11" t="inlineStr">
        <is>
          <t>High</t>
        </is>
      </c>
      <c r="E6" s="11" t="inlineStr">
        <is>
          <t>Done</t>
        </is>
      </c>
      <c r="F6" s="11" t="inlineStr">
        <is>
          <t>Re-check the page after the 1-7 Nov 2026 re-scrutiny window closes.</t>
        </is>
      </c>
      <c r="G6" s="11" t="inlineStr">
        <is>
          <t>2026-10-31</t>
        </is>
      </c>
    </row>
    <row r="7">
      <c r="A7" s="11" t="inlineStr">
        <is>
          <t>6</t>
        </is>
      </c>
      <c r="B7" s="11" t="inlineStr">
        <is>
          <t>ssc-form-fillup-2027.html</t>
        </is>
      </c>
      <c r="C7" s="11" t="inlineStr">
        <is>
          <t>SSC 2027 form fill-up window is 16–23 November 2026.</t>
        </is>
      </c>
      <c r="D7" s="11" t="inlineStr">
        <is>
          <t>High</t>
        </is>
      </c>
      <c r="E7" s="11" t="inlineStr">
        <is>
          <t>Open</t>
        </is>
      </c>
      <c r="F7" s="11" t="inlineStr">
        <is>
          <t>Update the status and fee details after the window opens and closes.</t>
        </is>
      </c>
      <c r="G7" s="11" t="inlineStr">
        <is>
          <t>2026-10-26</t>
        </is>
      </c>
    </row>
    <row r="8">
      <c r="A8" s="11" t="inlineStr">
        <is>
          <t>7</t>
        </is>
      </c>
      <c r="B8" s="11" t="inlineStr">
        <is>
          <t>Category hubs</t>
        </is>
      </c>
      <c r="C8" s="11" t="inlineStr">
        <is>
          <t>Old sample-data routine and requirements tables were placeholders.</t>
        </is>
      </c>
      <c r="D8" s="11" t="inlineStr">
        <is>
          <t>High</t>
        </is>
      </c>
      <c r="E8" s="11" t="inlineStr">
        <is>
          <t>Done</t>
        </is>
      </c>
      <c r="F8" s="11" t="inlineStr">
        <is>
          <t>Replaced with verified summaries, timelines and admission tracker rows from the published guides.</t>
        </is>
      </c>
      <c r="G8" s="11" t="inlineStr">
        <is>
          <t>2026-10-26</t>
        </is>
      </c>
    </row>
    <row r="9">
      <c r="A9" s="11" t="inlineStr">
        <is>
          <t>8</t>
        </is>
      </c>
      <c r="B9" s="11" t="inlineStr">
        <is>
          <t>Site-wide</t>
        </is>
      </c>
      <c r="C9" s="11" t="inlineStr">
        <is>
          <t>Empty accidental folders with mangled names exist in the root.</t>
        </is>
      </c>
      <c r="D9" s="11" t="inlineStr">
        <is>
          <t>Low</t>
        </is>
      </c>
      <c r="E9" s="11" t="inlineStr">
        <is>
          <t>Done</t>
        </is>
      </c>
      <c r="F9" s="11" t="inlineStr">
        <is>
          <t>Confirmed empty and removed the three folders.</t>
        </is>
      </c>
      <c r="G9" s="11" t="inlineStr">
        <is>
          <t>2026-10-26</t>
        </is>
      </c>
    </row>
  </sheetData>
  <autoFilter ref="A1:G100"/>
  <pageMargins left="0.75" right="0.75" top="1" bottom="1" header="0.5" footer="0.5"/>
</worksheet>
</file>

<file path=xl/worksheets/sheet4.xml><?xml version="1.0" encoding="utf-8"?>
<worksheet xmlns="http://schemas.openxmlformats.org/spreadsheetml/2006/main">
  <sheetPr>
    <tabColor rgb="0010B981"/>
    <outlinePr summaryBelow="1" summaryRight="1"/>
    <pageSetUpPr/>
  </sheetPr>
  <dimension ref="A1:Z21"/>
  <sheetViews>
    <sheetView showGridLines="0" workbookViewId="0">
      <selection activeCell="A1" sqref="A1"/>
    </sheetView>
  </sheetViews>
  <sheetFormatPr baseColWidth="8" defaultRowHeight="15"/>
  <cols>
    <col width="34" customWidth="1" min="1" max="1"/>
    <col width="80" customWidth="1" min="2" max="2"/>
    <col width="26" customWidth="1" min="3" max="3"/>
  </cols>
  <sheetData>
    <row r="1">
      <c r="A1" s="1" t="inlineStr">
        <is>
          <t>Site configuration</t>
        </is>
      </c>
    </row>
    <row r="3" ht="32" customHeight="1">
      <c r="A3" s="9" t="inlineStr">
        <is>
          <t>Property</t>
        </is>
      </c>
      <c r="B3" s="9" t="inlineStr">
        <is>
          <t>Value</t>
        </is>
      </c>
      <c r="C3" s="9" t="inlineStr">
        <is>
          <t>Source / note</t>
        </is>
      </c>
      <c r="D3" s="9" t="n"/>
      <c r="E3" s="9" t="n"/>
      <c r="F3" s="9" t="n"/>
      <c r="G3" s="9" t="n"/>
      <c r="H3" s="9" t="n"/>
      <c r="I3" s="9" t="n"/>
      <c r="J3" s="9" t="n"/>
      <c r="K3" s="9" t="n"/>
      <c r="L3" s="9" t="n"/>
      <c r="M3" s="9" t="n"/>
      <c r="N3" s="9" t="n"/>
      <c r="O3" s="9" t="n"/>
      <c r="P3" s="9" t="n"/>
      <c r="Q3" s="9" t="n"/>
      <c r="R3" s="9" t="n"/>
      <c r="S3" s="9" t="n"/>
      <c r="T3" s="9" t="n"/>
      <c r="U3" s="9" t="n"/>
      <c r="V3" s="9" t="n"/>
      <c r="W3" s="9" t="n"/>
      <c r="X3" s="9" t="n"/>
      <c r="Y3" s="9" t="n"/>
      <c r="Z3" s="9" t="n"/>
    </row>
    <row r="4">
      <c r="A4" s="4" t="inlineStr">
        <is>
          <t>Site name</t>
        </is>
      </c>
      <c r="B4" s="11" t="inlineStr">
        <is>
          <t>BoardExamBD</t>
        </is>
      </c>
      <c r="C4" s="11" t="inlineStr">
        <is>
          <t>Brand</t>
        </is>
      </c>
    </row>
    <row r="5">
      <c r="A5" s="4" t="inlineStr">
        <is>
          <t>Canonical domain</t>
        </is>
      </c>
      <c r="B5" s="11" t="inlineStr">
        <is>
          <t>https://boardexambd.com</t>
        </is>
      </c>
      <c r="C5" s="11" t="inlineStr">
        <is>
          <t>Confirmed by site owner</t>
        </is>
      </c>
    </row>
    <row r="6">
      <c r="A6" s="4" t="inlineStr">
        <is>
          <t>Author</t>
        </is>
      </c>
      <c r="B6" s="11" t="inlineStr">
        <is>
          <t>BoardExamBD Editorial Team</t>
        </is>
      </c>
      <c r="C6" s="11" t="inlineStr">
        <is>
          <t>Organization schema author</t>
        </is>
      </c>
    </row>
    <row r="7">
      <c r="A7" s="4" t="inlineStr">
        <is>
          <t>Default OG image</t>
        </is>
      </c>
      <c r="B7" s="11" t="inlineStr">
        <is>
          <t>https://boardexambd.com/assets/images/og-default.jpg</t>
        </is>
      </c>
      <c r="C7" s="11" t="inlineStr">
        <is>
          <t>Generated from supplied banner</t>
        </is>
      </c>
    </row>
    <row r="8">
      <c r="A8" s="4" t="inlineStr">
        <is>
          <t>OG source asset</t>
        </is>
      </c>
      <c r="B8" s="11" t="inlineStr">
        <is>
          <t>BoardExamBD Educational Notices Banner.png</t>
        </is>
      </c>
      <c r="C8" s="11" t="inlineStr">
        <is>
          <t>Original file kept in project root</t>
        </is>
      </c>
    </row>
    <row r="9">
      <c r="A9" s="4" t="inlineStr">
        <is>
          <t>Default OG size</t>
        </is>
      </c>
      <c r="B9" s="11" t="inlineStr">
        <is>
          <t>1200 × 630 px</t>
        </is>
      </c>
      <c r="C9" s="11" t="inlineStr">
        <is>
          <t>Resized from 1730 × 909</t>
        </is>
      </c>
    </row>
    <row r="10">
      <c r="A10" s="4" t="inlineStr">
        <is>
          <t>Language</t>
        </is>
      </c>
      <c r="B10" s="11" t="inlineStr">
        <is>
          <t>en</t>
        </is>
      </c>
      <c r="C10" s="11" t="inlineStr">
        <is>
          <t>English-only site</t>
        </is>
      </c>
    </row>
    <row r="11">
      <c r="A11" s="4" t="inlineStr">
        <is>
          <t>Theme color</t>
        </is>
      </c>
      <c r="B11" s="11" t="inlineStr">
        <is>
          <t>#4F46E5</t>
        </is>
      </c>
      <c r="C11" s="11" t="inlineStr">
        <is>
          <t>Indigo brand</t>
        </is>
      </c>
    </row>
    <row r="12">
      <c r="A12" s="4" t="inlineStr">
        <is>
          <t>Google Analytics 4</t>
        </is>
      </c>
      <c r="B12" s="11" t="inlineStr">
        <is>
          <t>Not set</t>
        </is>
      </c>
      <c r="C12" s="11" t="inlineStr">
        <is>
          <t>Add measurement ID before launch</t>
        </is>
      </c>
    </row>
    <row r="13">
      <c r="A13" s="4" t="inlineStr">
        <is>
          <t>Google Search Console</t>
        </is>
      </c>
      <c r="B13" s="11" t="inlineStr">
        <is>
          <t>Not set</t>
        </is>
      </c>
      <c r="C13" s="11" t="inlineStr">
        <is>
          <t>Add verification meta before launch</t>
        </is>
      </c>
    </row>
    <row r="14">
      <c r="A14" s="4" t="inlineStr">
        <is>
          <t>Bing Webmaster</t>
        </is>
      </c>
      <c r="B14" s="11" t="inlineStr">
        <is>
          <t>Not set</t>
        </is>
      </c>
      <c r="C14" s="11" t="inlineStr">
        <is>
          <t>Add verification meta before launch</t>
        </is>
      </c>
    </row>
    <row r="15">
      <c r="A15" s="4" t="inlineStr">
        <is>
          <t>Pinterest</t>
        </is>
      </c>
      <c r="B15" s="11" t="inlineStr">
        <is>
          <t>Not set</t>
        </is>
      </c>
      <c r="C15" s="11" t="inlineStr">
        <is>
          <t>Add verification meta before launch</t>
        </is>
      </c>
    </row>
    <row r="16">
      <c r="A16" s="4" t="inlineStr">
        <is>
          <t>Tailwind</t>
        </is>
      </c>
      <c r="B16" s="11" t="inlineStr">
        <is>
          <t>Compiled static CSS</t>
        </is>
      </c>
      <c r="C16" s="11" t="inlineStr">
        <is>
          <t>assets/css/tailwind.css</t>
        </is>
      </c>
    </row>
    <row r="17">
      <c r="A17" s="4" t="inlineStr">
        <is>
          <t>Markdown alternates</t>
        </is>
      </c>
      <c r="B17" s="11" t="inlineStr">
        <is>
          <t>md/ folder</t>
        </is>
      </c>
      <c r="C17" s="11" t="inlineStr">
        <is>
          <t>One .md file per article</t>
        </is>
      </c>
    </row>
    <row r="18">
      <c r="A18" s="4" t="inlineStr">
        <is>
          <t>AI index</t>
        </is>
      </c>
      <c r="B18" s="11" t="inlineStr">
        <is>
          <t>llms.txt</t>
        </is>
      </c>
      <c r="C18" s="11" t="inlineStr">
        <is>
          <t>Site-level AI crawler summary</t>
        </is>
      </c>
    </row>
    <row r="19">
      <c r="A19" s="4" t="inlineStr">
        <is>
          <t>Sitemap</t>
        </is>
      </c>
      <c r="B19" s="11" t="inlineStr">
        <is>
          <t>sitemap.xml</t>
        </is>
      </c>
      <c r="C19" s="11" t="inlineStr">
        <is>
          <t>21 indexable URLs</t>
        </is>
      </c>
    </row>
    <row r="20">
      <c r="A20" s="4" t="inlineStr">
        <is>
          <t>Robots</t>
        </is>
      </c>
      <c r="B20" s="11" t="inlineStr">
        <is>
          <t>robots.txt</t>
        </is>
      </c>
      <c r="C20" s="11" t="inlineStr">
        <is>
          <t>Allows search and AI crawlers</t>
        </is>
      </c>
    </row>
    <row r="21">
      <c r="A21" s="4" t="inlineStr">
        <is>
          <t>Last updated</t>
        </is>
      </c>
      <c r="B21" s="11" t="inlineStr">
        <is>
          <t>2026-10-31</t>
        </is>
      </c>
      <c r="C21" s="11" t="inlineStr">
        <is>
          <t>HSC result published 31 October 2026; site-wide date refresh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2026-11-01T08:29:24Z</dcterms:created>
  <dcterms:modified xsi:type="dcterms:W3CDTF">2026-11-01T08:29:24Z</dcterms:modified>
</cp:coreProperties>
</file>